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قرأني" sheetId="1" state="visible" r:id="rId3"/>
    <sheet name="لوحة الملخص" sheetId="2" state="visible" r:id="rId4"/>
    <sheet name="شرح المصطلحات" sheetId="3" state="visible" r:id="rId5"/>
    <sheet name="المقارنة الموحدة" sheetId="4" state="visible" r:id="rId6"/>
    <sheet name="إعادة البناء" sheetId="5" state="visible" r:id="rId7"/>
    <sheet name="تطور البروتوكول" sheetId="6" state="visible" r:id="rId8"/>
    <sheet name="نص مقابل بعيد" sheetId="7" state="visible" r:id="rId9"/>
    <sheet name="تحليل v8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<sst xmlns="http://schemas.openxmlformats.org/spreadsheetml/2006/main" count="470" uniqueCount="298">
  <si>
    <t xml:space="preserve">ملف مقارنة بروتوكولات الـ Clustering في شبكات الحساسات</t>
  </si>
  <si>
    <t xml:space="preserve">رسالة: Energy-Efficient Secure Clustering in WSNs Using Hybrid Cryptography — م. رحمة خالد عشبة</t>
  </si>
  <si>
    <t xml:space="preserve">الملف ده فيه إيه؟</t>
  </si>
  <si>
    <t xml:space="preserve">لوحة الملخص</t>
  </si>
  <si>
    <t xml:space="preserve">أهم النتايج في صفحة واحدة: أحسن نسخة من كل عيلة بروتوكولات جنب بعض، ومعاها رسمين بيانيين.</t>
  </si>
  <si>
    <t xml:space="preserve">المقارنة الموحدة</t>
  </si>
  <si>
    <t xml:space="preserve">كل البروتوكولات وكل نسخ البروتوكول المقترح في نفس البيئة بالظبط (100 نود، 100×100 م، الـ BS في النص). الترتيب ونسب التغيير محسوبين بمعادلات.</t>
  </si>
  <si>
    <t xml:space="preserve">إعادة البناء</t>
  </si>
  <si>
    <t xml:space="preserve">أرقام الأبحاث الأصلية، مقابل إعادة بناءنا بإعدادات البحث نفسه، مقابل البيئة الموحّدة. والفرق بينهم محسوب بمعادلات.</t>
  </si>
  <si>
    <t xml:space="preserve">تطور البروتوكول</t>
  </si>
  <si>
    <t xml:space="preserve">النسخ من v1 لحد v8-Chain، وكل نسخة بتغيّر حاجة واحدة بس. التغيير عن النسخة اللي قبلها وعن v1 محسوب بمعادلات.</t>
  </si>
  <si>
    <t xml:space="preserve">نص مقابل بعيد</t>
  </si>
  <si>
    <t xml:space="preserve">نفس البروتوكول مرة والـ BS في نص الأرض (50,50)، ومرة والـ BS بعيد (50,−100).</t>
  </si>
  <si>
    <t xml:space="preserve">تحليل v8</t>
  </si>
  <si>
    <t xml:space="preserve">تحليل البروتوكول النهائي: نشيل كل آلية لوحدها ونشوف أثرها، ونقارن طرق التوجيه، ونجرّب 8 أشكال شبكات مختلفة.</t>
  </si>
  <si>
    <t xml:space="preserve">شرح المصطلحات</t>
  </si>
  <si>
    <t xml:space="preserve">شرح كل مصطلح وكل عمود بالعربي البسيط.</t>
  </si>
  <si>
    <t xml:space="preserve">الألوان</t>
  </si>
  <si>
    <t xml:space="preserve">العنوان الأحمر</t>
  </si>
  <si>
    <t xml:space="preserve">رقم طالع من المحاكاة (اتكتب بإيدنا).</t>
  </si>
  <si>
    <t xml:space="preserve">العنوان الرمادي الغامق</t>
  </si>
  <si>
    <t xml:space="preserve">عمود محسوب بمعادلة — ماتكتبيش فوقه.</t>
  </si>
  <si>
    <t xml:space="preserve">الصف الوردي</t>
  </si>
  <si>
    <t xml:space="preserve">البروتوكول النهائي المقترح (v8 / v8-Chain).</t>
  </si>
  <si>
    <t xml:space="preserve">إعدادات المحاكاة</t>
  </si>
  <si>
    <t xml:space="preserve">عدد النودز</t>
  </si>
  <si>
    <t xml:space="preserve">100 نود</t>
  </si>
  <si>
    <t xml:space="preserve">مساحة الأرض</t>
  </si>
  <si>
    <t xml:space="preserve">100 × 100 متر</t>
  </si>
  <si>
    <t xml:space="preserve">الطاقة الابتدائية E0</t>
  </si>
  <si>
    <t xml:space="preserve">0.5 جول لكل نود</t>
  </si>
  <si>
    <t xml:space="preserve">حجم الرسالة</t>
  </si>
  <si>
    <t xml:space="preserve">2000 بت (رسالة التحكم 200 بت)</t>
  </si>
  <si>
    <t xml:space="preserve">سرعة الإرسال</t>
  </si>
  <si>
    <t xml:space="preserve">250 kbps</t>
  </si>
  <si>
    <t xml:space="preserve">مكان الـ BS</t>
  </si>
  <si>
    <t xml:space="preserve">(50, 50) في النص؛ وحالة البعيد (50, −100)</t>
  </si>
  <si>
    <t xml:space="preserve">مدى الاتصال</t>
  </si>
  <si>
    <t xml:space="preserve">25 متر</t>
  </si>
  <si>
    <t xml:space="preserve">نموذج الراديو</t>
  </si>
  <si>
    <t xml:space="preserve">First-order بمعادلتين (d² / d⁴)</t>
  </si>
  <si>
    <t xml:space="preserve">E_elec</t>
  </si>
  <si>
    <t xml:space="preserve">50 nJ/bit</t>
  </si>
  <si>
    <t xml:space="preserve">E_fs</t>
  </si>
  <si>
    <t xml:space="preserve">10 pJ/bit/m²</t>
  </si>
  <si>
    <t xml:space="preserve">E_mp</t>
  </si>
  <si>
    <t xml:space="preserve">0.0013 pJ/bit/m⁴</t>
  </si>
  <si>
    <t xml:space="preserve">E_DA</t>
  </si>
  <si>
    <t xml:space="preserve">5 nJ/bit</t>
  </si>
  <si>
    <t xml:space="preserve">d0 = √(E_fs/E_mp)</t>
  </si>
  <si>
    <t xml:space="preserve">≈ 87.7 متر</t>
  </si>
  <si>
    <t xml:space="preserve">الـ Random seed</t>
  </si>
  <si>
    <t xml:space="preserve">12345 (واختبار الثبات: 8 seeds)</t>
  </si>
  <si>
    <t xml:space="preserve">المحاكي</t>
  </si>
  <si>
    <t xml:space="preserve">ns-3.41 بلغة C++ (نموذج طاقة حسابي)</t>
  </si>
  <si>
    <t xml:space="preserve">المراجع</t>
  </si>
  <si>
    <t xml:space="preserve">[1]</t>
  </si>
  <si>
    <t xml:space="preserve">W. R. Heinzelman, A. Chandrakasan and H. Balakrishnan, “Energy-Efficient Communication Protocol for Wireless Microsensor Networks,” Proc. HICSS, 2000.</t>
  </si>
  <si>
    <t xml:space="preserve">[2]</t>
  </si>
  <si>
    <t xml:space="preserve">O. Younis and S. Fahmy, “HEED: A Hybrid, Energy-Efficient, Distributed Clustering Approach for Ad Hoc Sensor Networks,” IEEE Trans. Mobile Computing, 2004.</t>
  </si>
  <si>
    <t xml:space="preserve">[3]</t>
  </si>
  <si>
    <t xml:space="preserve">S. Lindsey and C. S. Raghavendra, “PEGASIS: Power-Efficient Gathering in Sensor Information Systems,” Proc. IEEE Aerospace Conference, 2002.</t>
  </si>
  <si>
    <t xml:space="preserve">[4]</t>
  </si>
  <si>
    <t xml:space="preserve">Shrestha, Kim, Jung and Lee, “The Improved Energy Efficient LEACH Protocol Technology of WSNs,” IJIBC, 2015.</t>
  </si>
  <si>
    <t xml:space="preserve">[5]</t>
  </si>
  <si>
    <t xml:space="preserve">A. Razaque, M. Mudigulam, K. Gavini, F. Amsaad, M. Abdulgader and P. Krishna, “H-LEACH: Hybrid-Low Energy Adaptive Clustering Hierarchy for Wireless Sensor Networks,” Proc. IEEE LISAT, 2016.</t>
  </si>
  <si>
    <t xml:space="preserve">[6]</t>
  </si>
  <si>
    <t xml:space="preserve">Kaur, Kour and Singh, “EECH-HEED: An Adaptive Hybrid Clustering Protocol for Energy Efficient Soil Monitoring,” Scientific Reports, 2025.</t>
  </si>
  <si>
    <t xml:space="preserve">[7]</t>
  </si>
  <si>
    <t xml:space="preserve">Subedi, Acharya, Lee and Lee, “Two-Level Clustering Algorithm for Cluster Head Selection in Randomly Deployed WSNs,” Telecom (MDPI), 2024.</t>
  </si>
  <si>
    <t xml:space="preserve">[8]</t>
  </si>
  <si>
    <t xml:space="preserve">Juwaied and Jackowska-Strumillo, “DL-HEED: A Deep Learning Approach to Energy-Efficient Clustering in Heterogeneous WSNs,” Applied Sciences (MDPI), 2025.</t>
  </si>
  <si>
    <t xml:space="preserve">[9]</t>
  </si>
  <si>
    <t xml:space="preserve">El-Sayed, Abd-Elgaber and Refaay, “An Intelligent RL Enhanced Improved LEACH Protocol for Prolonging WSN Lifetime,” Scientific Reports, 2026.</t>
  </si>
  <si>
    <t xml:space="preserve">لوحة الملخص — أحسن نسخة من كل عيلة (الـ BS في النص)</t>
  </si>
  <si>
    <t xml:space="preserve">الأرقام بتتسحب من شيت "المقارنة الموحدة" بـ INDEX/MATCH، فلو غيّرتي رقم هناك بيتغير هنا لوحده.</t>
  </si>
  <si>
    <t xml:space="preserve">البروتوكول</t>
  </si>
  <si>
    <t xml:space="preserve">المرحلة</t>
  </si>
  <si>
    <t xml:space="preserve">FND</t>
  </si>
  <si>
    <t xml:space="preserve">HND</t>
  </si>
  <si>
    <t xml:space="preserve">LND</t>
  </si>
  <si>
    <t xml:space="preserve">PDR</t>
  </si>
  <si>
    <t xml:space="preserve">LEACH</t>
  </si>
  <si>
    <t xml:space="preserve">في البيئة الموحّدة</t>
  </si>
  <si>
    <t xml:space="preserve">HEED</t>
  </si>
  <si>
    <t xml:space="preserve">PEGASIS</t>
  </si>
  <si>
    <t xml:space="preserve">SH-LEACH</t>
  </si>
  <si>
    <t xml:space="preserve">بعد التحسين</t>
  </si>
  <si>
    <t xml:space="preserve">H-LEACH</t>
  </si>
  <si>
    <t xml:space="preserve">v3</t>
  </si>
  <si>
    <t xml:space="preserve">مقترح</t>
  </si>
  <si>
    <t xml:space="preserve">v7 (Center)</t>
  </si>
  <si>
    <t xml:space="preserve">v7.1 Multihop (Int 5)</t>
  </si>
  <si>
    <t xml:space="preserve">v8-Chain (Center)</t>
  </si>
  <si>
    <t xml:space="preserve">أهم الأرقام</t>
  </si>
  <si>
    <t xml:space="preserve">FND بتاع v8-Chain مقارنة بأحسن هجين من الأبحاث (H-LEACH المحسّن)</t>
  </si>
  <si>
    <t xml:space="preserve">FND بتاع v8-Chain مقارنة بـ LEACH</t>
  </si>
  <si>
    <t xml:space="preserve">PDR بتاع v8-Chain مقارنة بـ v7 (نص)</t>
  </si>
  <si>
    <t xml:space="preserve">FND بتاع v8-Chain لما الـ BS بعيد مقارنة بـ v7 بعيد</t>
  </si>
  <si>
    <t xml:space="preserve">ملاحظة مهمة: HEED وSH-LEACH المحسّن عندهم PDR أعلى شوية من v8-Chain، بس أول نود فيهم بيموت بدري جدًا. وPEGASIS عنده LND أعلى، بس أول نود فيه بيموت قبلنا بحوالي 1300 round.</t>
  </si>
  <si>
    <t xml:space="preserve">شرح المصطلحات بالعربي البسيط</t>
  </si>
  <si>
    <t xml:space="preserve">لو أي كلمة في الملف مش واضحة، هتلاقي معناها هنا.</t>
  </si>
  <si>
    <t xml:space="preserve">المصطلح</t>
  </si>
  <si>
    <t xml:space="preserve">معناه ببساطة</t>
  </si>
  <si>
    <t xml:space="preserve">WSN</t>
  </si>
  <si>
    <t xml:space="preserve">شبكة حساسات لاسلكية: أجهزة صغيرة ببطارية بتقيس حاجة (حرارة، رطوبة…) وتبعتها لجهاز رئيسي.</t>
  </si>
  <si>
    <t xml:space="preserve">BS / Sink</t>
  </si>
  <si>
    <t xml:space="preserve">الجهاز الرئيسي اللي بيستلم الداتا من الشبكة كلها.</t>
  </si>
  <si>
    <t xml:space="preserve">CH (Cluster Head)</t>
  </si>
  <si>
    <t xml:space="preserve">"الألفة": نود بيستلم داتا جيرانه، يجمّعها في رسالة واحدة، ويبعتها للـ BS. بيتعب أكتر من الباقيين.</t>
  </si>
  <si>
    <t xml:space="preserve">Cluster</t>
  </si>
  <si>
    <t xml:space="preserve">مجموعة نودز تابعة لنفس الـ CH.</t>
  </si>
  <si>
    <t xml:space="preserve">Round</t>
  </si>
  <si>
    <t xml:space="preserve">دورة واحدة: كل نود يبعت قراءته مرة، والـ CHs توصّلها للـ BS.</t>
  </si>
  <si>
    <t xml:space="preserve">Setup interval</t>
  </si>
  <si>
    <t xml:space="preserve">كل كام round بنعيد اختيار الـ CHs من الأول (عندنا كل 5 rounds).</t>
  </si>
  <si>
    <t xml:space="preserve">FND (First Node Dead)</t>
  </si>
  <si>
    <t xml:space="preserve">رقم الـ round اللي مات فيه أول نود. كل ما يكون أعلى، يبقى الحمل متوزع أحسن والأرض كلها متغطية أطول. (أعلى = أحسن)</t>
  </si>
  <si>
    <t xml:space="preserve">HND (Half Nodes Dead)</t>
  </si>
  <si>
    <t xml:space="preserve">رقم الـ round اللي مات فيه نص النودز. بيقيس العمر المفيد للشبكة. (أعلى = أحسن)</t>
  </si>
  <si>
    <t xml:space="preserve">LND (Last Node Dead)</t>
  </si>
  <si>
    <t xml:space="preserve">رقم الـ round اللي مات فيه آخر نود. ممكن يكون وهمي لو النودز عايشة بس مش بتبعت (زي v5b). (أعلى = أحسن، بس بحذر)</t>
  </si>
  <si>
    <t xml:space="preserve">نسبة الرسايل اللي وصلت للـ BS من كل الرسايل اللي اتعملت على طول عمر الشبكة. (أعلى = أحسن)</t>
  </si>
  <si>
    <t xml:space="preserve">Delivered packets</t>
  </si>
  <si>
    <t xml:space="preserve">عدد الرسايل اللي وصلت فعلًا. بيكشف لو فيه نودز "عايشة وساكتة".</t>
  </si>
  <si>
    <t xml:space="preserve">Published</t>
  </si>
  <si>
    <t xml:space="preserve">الأرقام زي ما هي مكتوبة في البحث الأصلي (كل بحث بإعدادات مختلفة).</t>
  </si>
  <si>
    <t xml:space="preserve">Paper-exact</t>
  </si>
  <si>
    <t xml:space="preserve">الكود بتاعنا، بس بإعدادات البحث الأصلي نفسه — عشان نتأكد إن الكود صح.</t>
  </si>
  <si>
    <t xml:space="preserve">Unified / البيئة الموحّدة</t>
  </si>
  <si>
    <t xml:space="preserve">الكود بتاعنا لكل البروتوكولات بنفس الإعدادات بالظبط — عشان المقارنة تبقى عادلة.</t>
  </si>
  <si>
    <t xml:space="preserve">Improved / بعد التحسين</t>
  </si>
  <si>
    <t xml:space="preserve">البروتوكول بعد ما صلحنا فيه غلطة أو ضفنا تحسين.</t>
  </si>
  <si>
    <t xml:space="preserve">Δ (دلتا)</t>
  </si>
  <si>
    <t xml:space="preserve">الفرق أو نسبة التغيير. +10% يعني زاد 10%، و‎−10% يعني قل 10%.</t>
  </si>
  <si>
    <t xml:space="preserve">pp (نقطة مئوية)</t>
  </si>
  <si>
    <t xml:space="preserve">الفرق بين نسبتين: من 98.14% لـ 99.07% = +0.93 pp.</t>
  </si>
  <si>
    <t xml:space="preserve">FND ÷ LND</t>
  </si>
  <si>
    <t xml:space="preserve">كل ما يقرّب من 1، يبقى النودز بتموت ورا بعض بسرعة، يعني الحمل كان متوزع بالعدل.</t>
  </si>
  <si>
    <t xml:space="preserve">Rank</t>
  </si>
  <si>
    <t xml:space="preserve">الترتيب: 1 = الأحسن.</t>
  </si>
  <si>
    <t xml:space="preserve">Ablation</t>
  </si>
  <si>
    <t xml:space="preserve">إننا نشيل آلية واحدة من البروتوكول ونشوف النتيجة وقعت قد إيه — عشان نعرف أهمية كل آلية.</t>
  </si>
  <si>
    <t xml:space="preserve">d² / d⁴</t>
  </si>
  <si>
    <t xml:space="preserve">طاقة الإرسال بتزيد مع مربع المسافة في المسافات القصيرة، ومع أُس 4 للمسافة بعد 87.7 متر — عشان كده الإرسال البعيد غالي جدًا.</t>
  </si>
  <si>
    <t xml:space="preserve">المقارنة الموحّدة (الـ BS في نص الأرض)</t>
  </si>
  <si>
    <t xml:space="preserve">كل الصفوف: 100 نود، 100×100 م، طاقة 0.5 جول، رسالة 2000 بت، نموذج راديو بمعادلتين، seed = 12345. الترتيب 1 = الأحسن.</t>
  </si>
  <si>
    <t xml:space="preserve">العيلة</t>
  </si>
  <si>
    <t xml:space="preserve">البروتوكول / النسخة</t>
  </si>
  <si>
    <t xml:space="preserve">الفكرة</t>
  </si>
  <si>
    <t xml:space="preserve">الـ LND مقارنة بـ LEACH</t>
  </si>
  <si>
    <t xml:space="preserve">FND ÷ LND (توازن الحمل)</t>
  </si>
  <si>
    <t xml:space="preserve">ترتيب LND</t>
  </si>
  <si>
    <t xml:space="preserve">ترتيب PDR</t>
  </si>
  <si>
    <t xml:space="preserve">أساسي</t>
  </si>
  <si>
    <t xml:space="preserve">اختيار CH بالقرعة وبالدور</t>
  </si>
  <si>
    <t xml:space="preserve">مفاوضات متكررة على الطاقة والتكلفة</t>
  </si>
  <si>
    <t xml:space="preserve">HEED (fairness)</t>
  </si>
  <si>
    <t xml:space="preserve">موحّدة + تعديل</t>
  </si>
  <si>
    <t xml:space="preserve">+ عقوبة على تكرار نفس الـ CH</t>
  </si>
  <si>
    <t xml:space="preserve">سلسلة واحدة لكل النودز وقائد بيتغير</t>
  </si>
  <si>
    <t xml:space="preserve">هجين من الأبحاث</t>
  </si>
  <si>
    <t xml:space="preserve">LEACH + HEED بمضاعفة واحدة</t>
  </si>
  <si>
    <t xml:space="preserve">مضاعفة متكررة حقيقية، Cprob من 0.10 لـ 0.03</t>
  </si>
  <si>
    <t xml:space="preserve">شرط الطاقة = 1.0 × المتوسط</t>
  </si>
  <si>
    <t xml:space="preserve">شرط الطاقة اتخفف لـ 0.8 × المتوسط</t>
  </si>
  <si>
    <t xml:space="preserve">للمقارنة بس</t>
  </si>
  <si>
    <t xml:space="preserve">EECH-HEED</t>
  </si>
  <si>
    <t xml:space="preserve">HEED + EECH (مش LEACH+HEED)</t>
  </si>
  <si>
    <t xml:space="preserve">+ إرسال بس لما القراءة تتغير (بيبعت أقل)</t>
  </si>
  <si>
    <t xml:space="preserve">v1</t>
  </si>
  <si>
    <t xml:space="preserve">اختيار CH بطريقة HEED + انضمام بطريقة LEACH، من غير إعادة استخدام</t>
  </si>
  <si>
    <t xml:space="preserve">v2</t>
  </si>
  <si>
    <t xml:space="preserve">معادلة واحدة (الطاقة × الجيران) + إعادة استخدام الـ clusters كل 5 rounds</t>
  </si>
  <si>
    <t xml:space="preserve">v4</t>
  </si>
  <si>
    <t xml:space="preserve">مدة إعادة التكوين من 5 لـ 15 round</t>
  </si>
  <si>
    <t xml:space="preserve">v5</t>
  </si>
  <si>
    <t xml:space="preserve">+ نائب CH (Backup)</t>
  </si>
  <si>
    <t xml:space="preserve">v5-exp (Int 5)</t>
  </si>
  <si>
    <t xml:space="preserve">مدة 5 + Backup + إصلاح الـ cluster</t>
  </si>
  <si>
    <t xml:space="preserve">v5-exp (Int 10)</t>
  </si>
  <si>
    <t xml:space="preserve">مدة 10 + Backup + إصلاح الـ cluster</t>
  </si>
  <si>
    <t xml:space="preserve">v6 (Center)</t>
  </si>
  <si>
    <t xml:space="preserve">سلسلة بين الـ CHs</t>
  </si>
  <si>
    <t xml:space="preserve">سلسلة + Backup + إصلاح السلسلة</t>
  </si>
  <si>
    <t xml:space="preserve">شجرة Multihop + Backup + إصلاح المسار</t>
  </si>
  <si>
    <t xml:space="preserve">v7.2 Multihop (Int 10)</t>
  </si>
  <si>
    <t xml:space="preserve">نفس الـ Multihop بمدة 10</t>
  </si>
  <si>
    <t xml:space="preserve">v5b (Energy-Aware)</t>
  </si>
  <si>
    <t xml:space="preserve">v5-exp + قاعدة Energy-Aware (5% من E0) — الـ LND وهمي</t>
  </si>
  <si>
    <t xml:space="preserve">v8 (Center)</t>
  </si>
  <si>
    <t xml:space="preserve">v5b + I1–I5 + حد الطاقة النسبي</t>
  </si>
  <si>
    <t xml:space="preserve">v8 + توجيه ذكي بين الـ CHs (0 مرّات توجيه)</t>
  </si>
  <si>
    <t xml:space="preserve">إزاي تقري الجدول: "الـ LND مقارنة بـ LEACH" بتقارن بـ LEACH في البيئة الموحّدة. "FND ÷ LND" لو قريبة من 1 يبقى النودز ماتت ورا بعض بسرعة، يعني الحمل كان متوزع كويس.</t>
  </si>
  <si>
    <t xml:space="preserve">تنبيه: v5b عنده LND عالي (3203) بس ده وهمي — آخر 1038 round فيه وصّلوا 59 رسالة بس، لأن النودز كانت عايشة ومش بتبعت.</t>
  </si>
  <si>
    <t xml:space="preserve">أرقام الأبحاث مقابل إعادة البناء بتاعتنا</t>
  </si>
  <si>
    <t xml:space="preserve">المنشور = المكتوب في البحث (كل بحث بإعدادات مختلفة). Paper-exact = الكود بتاعنا بإعدادات البحث. الموحّد = الكود بتاعنا في البيئة المشتركة.</t>
  </si>
  <si>
    <t xml:space="preserve">FND المنشور</t>
  </si>
  <si>
    <t xml:space="preserve">LND المنشور</t>
  </si>
  <si>
    <t xml:space="preserve">FND (paper-exact)</t>
  </si>
  <si>
    <t xml:space="preserve">HND (paper-exact)</t>
  </si>
  <si>
    <t xml:space="preserve">LND (paper-exact)</t>
  </si>
  <si>
    <t xml:space="preserve">PDR (paper-exact)</t>
  </si>
  <si>
    <t xml:space="preserve">FND الموحّد</t>
  </si>
  <si>
    <t xml:space="preserve">HND الموحّد</t>
  </si>
  <si>
    <t xml:space="preserve">LND الموحّد</t>
  </si>
  <si>
    <t xml:space="preserve">PDR الموحّد</t>
  </si>
  <si>
    <t xml:space="preserve">Paper-exact مقابل المنشور (LND)</t>
  </si>
  <si>
    <t xml:space="preserve">الموحّد مقابل Paper-exact (LND)</t>
  </si>
  <si>
    <t xml:space="preserve">إعدادات الـ paper-exact</t>
  </si>
  <si>
    <t xml:space="preserve">مصدر الرقم المنشور</t>
  </si>
  <si>
    <t xml:space="preserve">50×50 م، BS بعيد، معادلة راديو واحدة</t>
  </si>
  <si>
    <t xml:space="preserve">Heinzelman وآخرين، 2000 — جدول 2 (0.5 جول)</t>
  </si>
  <si>
    <t xml:space="preserve">مش موجود</t>
  </si>
  <si>
    <t xml:space="preserve">رسم بس</t>
  </si>
  <si>
    <t xml:space="preserve">إعدادات جدول 2، BS بعيد، طاقة 2 جول، رسالة 800 بت</t>
  </si>
  <si>
    <t xml:space="preserve">Younis و Fahmy، 2004 — رسم بياني بس (Fig. 8)</t>
  </si>
  <si>
    <t xml:space="preserve">Lindsey و Raghavendra، 2002 — جدول 1 (50×50 م)</t>
  </si>
  <si>
    <t xml:space="preserve">100 نود، Cprob = 0.10</t>
  </si>
  <si>
    <t xml:space="preserve">Shrestha وآخرين، 2015 — رسم بياني بس (Fig. 2)</t>
  </si>
  <si>
    <t xml:space="preserve">مع حل احتياطي (الشرط الأصلي بيقف ومايختارش CH)</t>
  </si>
  <si>
    <t xml:space="preserve">Razaque وآخرين، 2016 — مقروءة تقريبًا من Fig. 2</t>
  </si>
  <si>
    <t xml:space="preserve">رسالة 4000 بت</t>
  </si>
  <si>
    <t xml:space="preserve">Kaur و Kour و Singh، 2025 — جدول 7</t>
  </si>
  <si>
    <t xml:space="preserve">ليه الأرقام بتتغير؟ البيئة الموحّدة مختلفة في: مساحة الأرض، ومكان الـ BS، ونموذج الراديو، وحجم الرسالة، والطاقة الابتدائية. الخوارزمية نفسها ماتغيرتش.</t>
  </si>
  <si>
    <t xml:space="preserve">عشان كده عمود "الموحّد" هو الوحيد اللي ينفع نقارن بيه البروتوكولات ببعض بشكل عادل.</t>
  </si>
  <si>
    <t xml:space="preserve">البروتوكول المقترح — التطور نسخة بنسخة</t>
  </si>
  <si>
    <t xml:space="preserve">كل نسخة بتغيّر حاجة واحدة بس. أعمدة Δ محسوبة: مقارنة بالصف اللي قبلها، ومقارنة بـ v1.</t>
  </si>
  <si>
    <t xml:space="preserve">النسخة</t>
  </si>
  <si>
    <t xml:space="preserve">الـ BS</t>
  </si>
  <si>
    <t xml:space="preserve">مدة إعادة التكوين</t>
  </si>
  <si>
    <t xml:space="preserve">إيه اللي اتغيّر</t>
  </si>
  <si>
    <t xml:space="preserve">Δ FND عن اللي قبلها</t>
  </si>
  <si>
    <t xml:space="preserve">Δ LND عن اللي قبلها</t>
  </si>
  <si>
    <t xml:space="preserve">Δ PDR عن اللي قبلها</t>
  </si>
  <si>
    <t xml:space="preserve">Δ LND عن v1</t>
  </si>
  <si>
    <t xml:space="preserve">في النص</t>
  </si>
  <si>
    <t xml:space="preserve">—</t>
  </si>
  <si>
    <t xml:space="preserve">v6 (Far BS)</t>
  </si>
  <si>
    <t xml:space="preserve">بعيد</t>
  </si>
  <si>
    <t xml:space="preserve">v7 (Far BS)</t>
  </si>
  <si>
    <t xml:space="preserve">v8 (Far BS)</t>
  </si>
  <si>
    <t xml:space="preserve">نفس كود v8 والـ BS عند (50, −100)</t>
  </si>
  <si>
    <t xml:space="preserve">v8-Chain (Far BS)</t>
  </si>
  <si>
    <t xml:space="preserve">v8 + توجيه ذكي بين الـ CHs (4,710 مرّة توجيه)</t>
  </si>
  <si>
    <t xml:space="preserve">الصفوف مترتبة بترتيب ما اتعملت. نسخ "في النص" و"بعيد" لنفس البروتوكول (v6 وv7 وv8) تتقارن مع بعض في شيت "نص مقابل بعيد"، مش صف بصف هنا.</t>
  </si>
  <si>
    <t xml:space="preserve">بيانات الرسم (نسخ الـ BS في النص، بمعادلات)</t>
  </si>
  <si>
    <t xml:space="preserve">نفس البروتوكول: الـ BS في النص مقابل الـ BS بعيد</t>
  </si>
  <si>
    <t xml:space="preserve">نفس الكود ونفس الـ seed، الفرق الوحيد مكان الـ BS: في النص (50,50) أو بعيد (50,−100). Δ = البعيد مقارنة بالنص (معادلات).</t>
  </si>
  <si>
    <t xml:space="preserve">FND نص</t>
  </si>
  <si>
    <t xml:space="preserve">HND نص</t>
  </si>
  <si>
    <t xml:space="preserve">LND نص</t>
  </si>
  <si>
    <t xml:space="preserve">PDR نص</t>
  </si>
  <si>
    <t xml:space="preserve">FND بعيد</t>
  </si>
  <si>
    <t xml:space="preserve">HND بعيد</t>
  </si>
  <si>
    <t xml:space="preserve">LND بعيد</t>
  </si>
  <si>
    <t xml:space="preserve">PDR بعيد</t>
  </si>
  <si>
    <t xml:space="preserve">Δ FND</t>
  </si>
  <si>
    <t xml:space="preserve">Δ LND</t>
  </si>
  <si>
    <t xml:space="preserve">Δ PDR</t>
  </si>
  <si>
    <t xml:space="preserve">v6 (سلسلة ثابتة)</t>
  </si>
  <si>
    <t xml:space="preserve">v7 (سلسلة + Backup + إصلاح)</t>
  </si>
  <si>
    <t xml:space="preserve">v8</t>
  </si>
  <si>
    <t xml:space="preserve">v8-Chain (توجيه ذكي)</t>
  </si>
  <si>
    <t xml:space="preserve">إزاي تقري الجدول: لما الـ BS يبعد، كل البروتوكولات بتخسر عمر لأن الإرسال للـ BS بقى غالي. v8-Chain بيخسر أقل من v8 لأنه بيعمل سلسلة لوحده لما الـ BS يبعد.</t>
  </si>
  <si>
    <t xml:space="preserve">تحليل v8 / v8-Chain</t>
  </si>
  <si>
    <t xml:space="preserve">أ. نشيل آلية واحدة كل مرة (Ablation). ب. طرق التوجيه بين الـ CHs. ج. متوسط 8 أشكال شبكات مختلفة.</t>
  </si>
  <si>
    <t xml:space="preserve">أ. Ablation — نشيل آلية واحدة (الـ BS في النص، seed 12345)</t>
  </si>
  <si>
    <t xml:space="preserve">الآلية اللي اتشالت</t>
  </si>
  <si>
    <t xml:space="preserve">الرسايل اللي وصلت</t>
  </si>
  <si>
    <t xml:space="preserve">Δ FND عن الكامل</t>
  </si>
  <si>
    <t xml:space="preserve">Δ الرسايل عن الكامل</t>
  </si>
  <si>
    <t xml:space="preserve">v8 (كامل)</t>
  </si>
  <si>
    <t xml:space="preserve">v8 − I1</t>
  </si>
  <si>
    <t xml:space="preserve">إصلاح الـ epoch</t>
  </si>
  <si>
    <t xml:space="preserve">v8 − I2</t>
  </si>
  <si>
    <t xml:space="preserve">التسليم الاستباقي للـ CH</t>
  </si>
  <si>
    <t xml:space="preserve">v8 − I3</t>
  </si>
  <si>
    <t xml:space="preserve">انضمام الأيتام</t>
  </si>
  <si>
    <t xml:space="preserve">v8 − I4</t>
  </si>
  <si>
    <t xml:space="preserve">الإرسال المباشر للـ BS</t>
  </si>
  <si>
    <t xml:space="preserve">v8 − I5</t>
  </si>
  <si>
    <t xml:space="preserve">ترشيح الأقوياء بس</t>
  </si>
  <si>
    <t xml:space="preserve">إصلاح الحد بس</t>
  </si>
  <si>
    <t xml:space="preserve">من غير I1 لحد I5</t>
  </si>
  <si>
    <t xml:space="preserve">ب. طريقة التوجيه بين الـ CHs (seed 12345 ومتوسط 8 seeds)</t>
  </si>
  <si>
    <t xml:space="preserve">طريقة التوجيه</t>
  </si>
  <si>
    <t xml:space="preserve">متوسط FND</t>
  </si>
  <si>
    <t xml:space="preserve">متوسط HND</t>
  </si>
  <si>
    <t xml:space="preserve">متوسط LND</t>
  </si>
  <si>
    <t xml:space="preserve">متوسط PDR</t>
  </si>
  <si>
    <t xml:space="preserve">مباشر CH→BS (v8)</t>
  </si>
  <si>
    <t xml:space="preserve">سلسلة ثابتة</t>
  </si>
  <si>
    <t xml:space="preserve">توجيه ذكي (v8-Chain)</t>
  </si>
  <si>
    <t xml:space="preserve">ج. الثبات — متوسط 8 أشكال شبكات (seeds 12345, 1, 7, 42, 99, 2024, 31337, 555)</t>
  </si>
  <si>
    <t xml:space="preserve">v5b</t>
  </si>
  <si>
    <t xml:space="preserve">الخلاصة: الإرسال المباشر للـ BS (I4) وترشيح الأقوياء بس (I5) هما سبب معظم الزيادة في العمر. التسليم الاستباقي (I2) بيزوّد الـ PDR.</t>
  </si>
  <si>
    <t xml:space="preserve">I1 وI3 شبكة أمان: مالهمش أثر لما كل الآليات شغّالة مع بعض في الـ seed ده. التوجيه الذكي مابيشتغلش خالص لما الـ BS في النص، وبيعمل سلسلة لوحده لما الـ BS بعيد.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</si>
</sst>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%"/>
    <numFmt numFmtId="167" formatCode="\+0.0%;\-0.0%;0.0%"/>
    <numFmt numFmtId="168" formatCode="\+0.00&quot; pp&quot;;\-0.00&quot; pp&quot;;0.00&quot; pp&quot;"/>
    <numFmt numFmtId="169" formatCode="0.0%"/>
    <numFmt numFmtId="170" formatCode="0.00"/>
    <numFmt numFmtId="171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8A2522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8A2522"/>
      <name val="Arial"/>
      <family val="0"/>
      <charset val="1"/>
    </font>
    <font>
      <b val="true"/>
      <sz val="10"/>
      <color rgb="FF32323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8A2522"/>
      <name val="Arial"/>
      <family val="0"/>
      <charset val="1"/>
    </font>
    <font>
      <b val="true"/>
      <sz val="18"/>
      <color rgb="FF0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8A2522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A2522"/>
        <bgColor rgb="FF993366"/>
      </patternFill>
    </fill>
    <fill>
      <patternFill patternType="solid">
        <fgColor rgb="FF323232"/>
        <bgColor rgb="FF333300"/>
      </patternFill>
    </fill>
    <fill>
      <patternFill patternType="solid">
        <fgColor rgb="FFEDEDE5"/>
        <bgColor rgb="FFF6E3E1"/>
      </patternFill>
    </fill>
    <fill>
      <patternFill patternType="solid">
        <fgColor rgb="FFF6E3E1"/>
        <bgColor rgb="FFEDEDE5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CF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 readingOrder="2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 readingOrder="2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70" fontId="8" fillId="4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71" fontId="8" fillId="4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0" fillId="5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0" fillId="5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70" fontId="10" fillId="5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71" fontId="10" fillId="5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8" fillId="4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FC6"/>
      <rgbColor rgb="FF878787"/>
      <rgbColor rgb="FF9999FF"/>
      <rgbColor rgb="FF993366"/>
      <rgbColor rgb="FFEDEDE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E3E1"/>
      <rgbColor rgb="FF3366FF"/>
      <rgbColor rgb="FF33CCCC"/>
      <rgbColor rgb="FF99CC00"/>
      <rgbColor rgb="FFFFCC00"/>
      <rgbColor rgb="FFFF9900"/>
      <rgbColor rgb="FFFF6600"/>
      <rgbColor rgb="FF555555"/>
      <rgbColor rgb="FFC9A09E"/>
      <rgbColor rgb="FF003366"/>
      <rgbColor rgb="FF339966"/>
      <rgbColor rgb="FF003300"/>
      <rgbColor rgb="FF333300"/>
      <rgbColor rgb="FF8A2522"/>
      <rgbColor rgb="FF993366"/>
      <rgbColor rgb="FF333399"/>
      <rgbColor rgb="FF3232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عمر الشبكة (rounds)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'لوحة الملخص'!C4</c:f>
              <c:strCache>
                <c:ptCount val="1"/>
                <c:pt idx="0">
                  <c:v>FND</c:v>
                </c:pt>
              </c:strCache>
            </c:strRef>
          </c:tx>
          <c:spPr>
            <a:solidFill>
              <a:srgbClr val="c9a09e"/>
            </a:solidFill>
            <a:ln w="0">
              <a:solidFill>
                <a:srgbClr val="c9a09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'لوحة الملخص'!$A$5:$A$13</c:f>
              <c:strCache>
                <c:ptCount val="9"/>
                <c:pt idx="0">
                  <c:v>LEACH</c:v>
                </c:pt>
                <c:pt idx="1">
                  <c:v>HEED</c:v>
                </c:pt>
                <c:pt idx="2">
                  <c:v>PEGASIS</c:v>
                </c:pt>
                <c:pt idx="3">
                  <c:v>SH-LEACH</c:v>
                </c:pt>
                <c:pt idx="4">
                  <c:v>H-LEACH</c:v>
                </c:pt>
                <c:pt idx="5">
                  <c:v>v3</c:v>
                </c:pt>
                <c:pt idx="6">
                  <c:v>v7 (Center)</c:v>
                </c:pt>
                <c:pt idx="7">
                  <c:v>v7.1 Multihop (Int 5)</c:v>
                </c:pt>
                <c:pt idx="8">
                  <c:v>v8-Chain (Center)</c:v>
                </c:pt>
              </c:strCache>
            </c:strRef>
          </c:cat>
          <c:val>
            <c:numRef>
              <c:f>'لوحة الملخص'!$C$5:$C$13</c:f>
              <c:numCache>
                <c:formatCode>#,##0</c:formatCode>
                <c:ptCount val="9"/>
                <c:pt idx="0">
                  <c:v>1409</c:v>
                </c:pt>
                <c:pt idx="1">
                  <c:v>323</c:v>
                </c:pt>
                <c:pt idx="2">
                  <c:v>1324</c:v>
                </c:pt>
                <c:pt idx="3">
                  <c:v>1247</c:v>
                </c:pt>
                <c:pt idx="4">
                  <c:v>2347</c:v>
                </c:pt>
                <c:pt idx="5">
                  <c:v>1730</c:v>
                </c:pt>
                <c:pt idx="6">
                  <c:v>1551</c:v>
                </c:pt>
                <c:pt idx="7">
                  <c:v>1491</c:v>
                </c:pt>
                <c:pt idx="8">
                  <c:v>2621</c:v>
                </c:pt>
              </c:numCache>
            </c:numRef>
          </c:val>
        </c:ser>
        <c:ser>
          <c:idx val="1"/>
          <c:order val="1"/>
          <c:tx>
            <c:strRef>
              <c:f>'لوحة الملخص'!D4</c:f>
              <c:strCache>
                <c:ptCount val="1"/>
                <c:pt idx="0">
                  <c:v>HND</c:v>
                </c:pt>
              </c:strCache>
            </c:strRef>
          </c:tx>
          <c:spPr>
            <a:solidFill>
              <a:srgbClr val="8a2522"/>
            </a:solidFill>
            <a:ln w="0">
              <a:solidFill>
                <a:srgbClr val="8a2522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'لوحة الملخص'!$A$5:$A$13</c:f>
              <c:strCache>
                <c:ptCount val="9"/>
                <c:pt idx="0">
                  <c:v>LEACH</c:v>
                </c:pt>
                <c:pt idx="1">
                  <c:v>HEED</c:v>
                </c:pt>
                <c:pt idx="2">
                  <c:v>PEGASIS</c:v>
                </c:pt>
                <c:pt idx="3">
                  <c:v>SH-LEACH</c:v>
                </c:pt>
                <c:pt idx="4">
                  <c:v>H-LEACH</c:v>
                </c:pt>
                <c:pt idx="5">
                  <c:v>v3</c:v>
                </c:pt>
                <c:pt idx="6">
                  <c:v>v7 (Center)</c:v>
                </c:pt>
                <c:pt idx="7">
                  <c:v>v7.1 Multihop (Int 5)</c:v>
                </c:pt>
                <c:pt idx="8">
                  <c:v>v8-Chain (Center)</c:v>
                </c:pt>
              </c:strCache>
            </c:strRef>
          </c:cat>
          <c:val>
            <c:numRef>
              <c:f>'لوحة الملخص'!$D$5:$D$13</c:f>
              <c:numCache>
                <c:formatCode>#,##0</c:formatCode>
                <c:ptCount val="9"/>
                <c:pt idx="0">
                  <c:v>1626</c:v>
                </c:pt>
                <c:pt idx="1">
                  <c:v>570</c:v>
                </c:pt>
                <c:pt idx="2">
                  <c:v>2353</c:v>
                </c:pt>
                <c:pt idx="3">
                  <c:v>1600</c:v>
                </c:pt>
                <c:pt idx="4">
                  <c:v>2449</c:v>
                </c:pt>
                <c:pt idx="5">
                  <c:v>2081</c:v>
                </c:pt>
                <c:pt idx="6">
                  <c:v>1976</c:v>
                </c:pt>
                <c:pt idx="7">
                  <c:v>1991</c:v>
                </c:pt>
                <c:pt idx="8">
                  <c:v>2711</c:v>
                </c:pt>
              </c:numCache>
            </c:numRef>
          </c:val>
        </c:ser>
        <c:ser>
          <c:idx val="2"/>
          <c:order val="2"/>
          <c:tx>
            <c:strRef>
              <c:f>'لوحة الملخص'!E4</c:f>
              <c:strCache>
                <c:ptCount val="1"/>
                <c:pt idx="0">
                  <c:v>LND</c:v>
                </c:pt>
              </c:strCache>
            </c:strRef>
          </c:tx>
          <c:spPr>
            <a:solidFill>
              <a:srgbClr val="323232"/>
            </a:solidFill>
            <a:ln w="0">
              <a:solidFill>
                <a:srgbClr val="323232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'لوحة الملخص'!$A$5:$A$13</c:f>
              <c:strCache>
                <c:ptCount val="9"/>
                <c:pt idx="0">
                  <c:v>LEACH</c:v>
                </c:pt>
                <c:pt idx="1">
                  <c:v>HEED</c:v>
                </c:pt>
                <c:pt idx="2">
                  <c:v>PEGASIS</c:v>
                </c:pt>
                <c:pt idx="3">
                  <c:v>SH-LEACH</c:v>
                </c:pt>
                <c:pt idx="4">
                  <c:v>H-LEACH</c:v>
                </c:pt>
                <c:pt idx="5">
                  <c:v>v3</c:v>
                </c:pt>
                <c:pt idx="6">
                  <c:v>v7 (Center)</c:v>
                </c:pt>
                <c:pt idx="7">
                  <c:v>v7.1 Multihop (Int 5)</c:v>
                </c:pt>
                <c:pt idx="8">
                  <c:v>v8-Chain (Center)</c:v>
                </c:pt>
              </c:strCache>
            </c:strRef>
          </c:cat>
          <c:val>
            <c:numRef>
              <c:f>'لوحة الملخص'!$E$5:$E$13</c:f>
              <c:numCache>
                <c:formatCode>#,##0</c:formatCode>
                <c:ptCount val="9"/>
                <c:pt idx="0">
                  <c:v>1962</c:v>
                </c:pt>
                <c:pt idx="1">
                  <c:v>1362</c:v>
                </c:pt>
                <c:pt idx="2">
                  <c:v>2887</c:v>
                </c:pt>
                <c:pt idx="3">
                  <c:v>1649</c:v>
                </c:pt>
                <c:pt idx="4">
                  <c:v>2499</c:v>
                </c:pt>
                <c:pt idx="5">
                  <c:v>2703</c:v>
                </c:pt>
                <c:pt idx="6">
                  <c:v>2066</c:v>
                </c:pt>
                <c:pt idx="7">
                  <c:v>2086</c:v>
                </c:pt>
                <c:pt idx="8">
                  <c:v>2756</c:v>
                </c:pt>
              </c:numCache>
            </c:numRef>
          </c:val>
        </c:ser>
        <c:gapWidth val="150"/>
        <c:overlap val="0"/>
        <c:axId val="69346111"/>
        <c:axId val="88085423"/>
      </c:barChart>
      <c:catAx>
        <c:axId val="6934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085423"/>
        <c:crosses val="autoZero"/>
        <c:auto val="1"/>
        <c:lblAlgn val="ctr"/>
        <c:lblOffset val="100"/>
        <c:noMultiLvlLbl val="0"/>
      </c:catAx>
      <c:valAx>
        <c:axId val="880854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461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نسبة التوصيل PDR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'لوحة الملخص'!F4</c:f>
              <c:strCache>
                <c:ptCount val="1"/>
                <c:pt idx="0">
                  <c:v>PDR</c:v>
                </c:pt>
              </c:strCache>
            </c:strRef>
          </c:tx>
          <c:spPr>
            <a:solidFill>
              <a:srgbClr val="8a2522"/>
            </a:solidFill>
            <a:ln w="0">
              <a:noFill/>
            </a:ln>
          </c:spPr>
          <c:invertIfNegative val="0"/>
          <c:dLbls>
            <c:numFmt formatCode="0.0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'لوحة الملخص'!$A$5:$A$13</c:f>
              <c:strCache>
                <c:ptCount val="9"/>
                <c:pt idx="0">
                  <c:v>LEACH</c:v>
                </c:pt>
                <c:pt idx="1">
                  <c:v>HEED</c:v>
                </c:pt>
                <c:pt idx="2">
                  <c:v>PEGASIS</c:v>
                </c:pt>
                <c:pt idx="3">
                  <c:v>SH-LEACH</c:v>
                </c:pt>
                <c:pt idx="4">
                  <c:v>H-LEACH</c:v>
                </c:pt>
                <c:pt idx="5">
                  <c:v>v3</c:v>
                </c:pt>
                <c:pt idx="6">
                  <c:v>v7 (Center)</c:v>
                </c:pt>
                <c:pt idx="7">
                  <c:v>v7.1 Multihop (Int 5)</c:v>
                </c:pt>
                <c:pt idx="8">
                  <c:v>v8-Chain (Center)</c:v>
                </c:pt>
              </c:strCache>
            </c:strRef>
          </c:cat>
          <c:val>
            <c:numRef>
              <c:f>'لوحة الملخص'!$F$5:$F$13</c:f>
              <c:numCache>
                <c:formatCode>0.00%</c:formatCode>
                <c:ptCount val="9"/>
                <c:pt idx="0">
                  <c:v>0.9837</c:v>
                </c:pt>
                <c:pt idx="1">
                  <c:v>0.9969</c:v>
                </c:pt>
                <c:pt idx="2">
                  <c:v>0.9867</c:v>
                </c:pt>
                <c:pt idx="3">
                  <c:v>0.9979</c:v>
                </c:pt>
                <c:pt idx="4">
                  <c:v>0.9733</c:v>
                </c:pt>
                <c:pt idx="5">
                  <c:v>0.9772</c:v>
                </c:pt>
                <c:pt idx="6">
                  <c:v>0.98432</c:v>
                </c:pt>
                <c:pt idx="7">
                  <c:v>0.9849</c:v>
                </c:pt>
                <c:pt idx="8">
                  <c:v>0.992668</c:v>
                </c:pt>
              </c:numCache>
            </c:numRef>
          </c:val>
        </c:ser>
        <c:gapWidth val="150"/>
        <c:overlap val="0"/>
        <c:axId val="40002719"/>
        <c:axId val="65135457"/>
      </c:barChart>
      <c:catAx>
        <c:axId val="4000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135457"/>
        <c:crosses val="autoZero"/>
        <c:auto val="1"/>
        <c:lblAlgn val="ctr"/>
        <c:lblOffset val="100"/>
        <c:noMultiLvlLbl val="0"/>
      </c:catAx>
      <c:valAx>
        <c:axId val="65135457"/>
        <c:scaling>
          <c:orientation val="minMax"/>
          <c:max val="1"/>
          <c:min val="0.96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0027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عمر الشبكة عبر النسخ (BS في النص)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'تطور البروتوكول'!B27</c:f>
              <c:strCache>
                <c:ptCount val="1"/>
                <c:pt idx="0">
                  <c:v>FND</c:v>
                </c:pt>
              </c:strCache>
            </c:strRef>
          </c:tx>
          <c:spPr>
            <a:solidFill>
              <a:srgbClr val="c9a09e"/>
            </a:solidFill>
            <a:ln w="28080">
              <a:solidFill>
                <a:srgbClr val="c9a09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'تطور البروتوكول'!$A$28:$A$41</c:f>
              <c:strCache>
                <c:ptCount val="14"/>
                <c:pt idx="0">
                  <c:v>v1</c:v>
                </c:pt>
                <c:pt idx="1">
                  <c:v>v2</c:v>
                </c:pt>
                <c:pt idx="2">
                  <c:v>v3</c:v>
                </c:pt>
                <c:pt idx="3">
                  <c:v>v4</c:v>
                </c:pt>
                <c:pt idx="4">
                  <c:v>v5</c:v>
                </c:pt>
                <c:pt idx="5">
                  <c:v>v5-exp (Int 5)</c:v>
                </c:pt>
                <c:pt idx="6">
                  <c:v>v5-exp (Int 10)</c:v>
                </c:pt>
                <c:pt idx="7">
                  <c:v>v6 (Center)</c:v>
                </c:pt>
                <c:pt idx="8">
                  <c:v>v7 (Center)</c:v>
                </c:pt>
                <c:pt idx="9">
                  <c:v>v7.1 Multihop (Int 5)</c:v>
                </c:pt>
                <c:pt idx="10">
                  <c:v>v7.2 Multihop (Int 10)</c:v>
                </c:pt>
                <c:pt idx="11">
                  <c:v>v5b (Energy-Aware)</c:v>
                </c:pt>
                <c:pt idx="12">
                  <c:v>v8 (Center)</c:v>
                </c:pt>
                <c:pt idx="13">
                  <c:v>v8-Chain (Center)</c:v>
                </c:pt>
              </c:strCache>
            </c:strRef>
          </c:cat>
          <c:val>
            <c:numRef>
              <c:f>'تطور البروتوكول'!$B$28:$B$41</c:f>
              <c:numCache>
                <c:formatCode>#,##0</c:formatCode>
                <c:ptCount val="14"/>
                <c:pt idx="0">
                  <c:v>330</c:v>
                </c:pt>
                <c:pt idx="1">
                  <c:v>345</c:v>
                </c:pt>
                <c:pt idx="2">
                  <c:v>1730</c:v>
                </c:pt>
                <c:pt idx="3">
                  <c:v>1513</c:v>
                </c:pt>
                <c:pt idx="4">
                  <c:v>1513</c:v>
                </c:pt>
                <c:pt idx="5">
                  <c:v>1730</c:v>
                </c:pt>
                <c:pt idx="6">
                  <c:v>1621</c:v>
                </c:pt>
                <c:pt idx="7">
                  <c:v>1551</c:v>
                </c:pt>
                <c:pt idx="8">
                  <c:v>1551</c:v>
                </c:pt>
                <c:pt idx="9">
                  <c:v>1491</c:v>
                </c:pt>
                <c:pt idx="10">
                  <c:v>1381</c:v>
                </c:pt>
                <c:pt idx="11">
                  <c:v>1730</c:v>
                </c:pt>
                <c:pt idx="12">
                  <c:v>2621</c:v>
                </c:pt>
                <c:pt idx="13">
                  <c:v>2621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'تطور البروتوكول'!C27</c:f>
              <c:strCache>
                <c:ptCount val="1"/>
                <c:pt idx="0">
                  <c:v>HND</c:v>
                </c:pt>
              </c:strCache>
            </c:strRef>
          </c:tx>
          <c:spPr>
            <a:solidFill>
              <a:srgbClr val="8a2522"/>
            </a:solidFill>
            <a:ln w="28080">
              <a:solidFill>
                <a:srgbClr val="8a252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'تطور البروتوكول'!$A$28:$A$41</c:f>
              <c:strCache>
                <c:ptCount val="14"/>
                <c:pt idx="0">
                  <c:v>v1</c:v>
                </c:pt>
                <c:pt idx="1">
                  <c:v>v2</c:v>
                </c:pt>
                <c:pt idx="2">
                  <c:v>v3</c:v>
                </c:pt>
                <c:pt idx="3">
                  <c:v>v4</c:v>
                </c:pt>
                <c:pt idx="4">
                  <c:v>v5</c:v>
                </c:pt>
                <c:pt idx="5">
                  <c:v>v5-exp (Int 5)</c:v>
                </c:pt>
                <c:pt idx="6">
                  <c:v>v5-exp (Int 10)</c:v>
                </c:pt>
                <c:pt idx="7">
                  <c:v>v6 (Center)</c:v>
                </c:pt>
                <c:pt idx="8">
                  <c:v>v7 (Center)</c:v>
                </c:pt>
                <c:pt idx="9">
                  <c:v>v7.1 Multihop (Int 5)</c:v>
                </c:pt>
                <c:pt idx="10">
                  <c:v>v7.2 Multihop (Int 10)</c:v>
                </c:pt>
                <c:pt idx="11">
                  <c:v>v5b (Energy-Aware)</c:v>
                </c:pt>
                <c:pt idx="12">
                  <c:v>v8 (Center)</c:v>
                </c:pt>
                <c:pt idx="13">
                  <c:v>v8-Chain (Center)</c:v>
                </c:pt>
              </c:strCache>
            </c:strRef>
          </c:cat>
          <c:val>
            <c:numRef>
              <c:f>'تطور البروتوكول'!$C$28:$C$41</c:f>
              <c:numCache>
                <c:formatCode>#,##0</c:formatCode>
                <c:ptCount val="14"/>
                <c:pt idx="0">
                  <c:v>557</c:v>
                </c:pt>
                <c:pt idx="1">
                  <c:v>534</c:v>
                </c:pt>
                <c:pt idx="2">
                  <c:v>2081</c:v>
                </c:pt>
                <c:pt idx="3">
                  <c:v>2219</c:v>
                </c:pt>
                <c:pt idx="4">
                  <c:v>2127</c:v>
                </c:pt>
                <c:pt idx="5">
                  <c:v>2086</c:v>
                </c:pt>
                <c:pt idx="6">
                  <c:v>2141</c:v>
                </c:pt>
                <c:pt idx="7">
                  <c:v>1981</c:v>
                </c:pt>
                <c:pt idx="8">
                  <c:v>1976</c:v>
                </c:pt>
                <c:pt idx="9">
                  <c:v>1991</c:v>
                </c:pt>
                <c:pt idx="10">
                  <c:v>2071</c:v>
                </c:pt>
                <c:pt idx="11">
                  <c:v>2091</c:v>
                </c:pt>
                <c:pt idx="12">
                  <c:v>2711</c:v>
                </c:pt>
                <c:pt idx="13">
                  <c:v>2711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'تطور البروتوكول'!D27</c:f>
              <c:strCache>
                <c:ptCount val="1"/>
                <c:pt idx="0">
                  <c:v>LND</c:v>
                </c:pt>
              </c:strCache>
            </c:strRef>
          </c:tx>
          <c:spPr>
            <a:solidFill>
              <a:srgbClr val="323232"/>
            </a:solidFill>
            <a:ln w="28080">
              <a:solidFill>
                <a:srgbClr val="3232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'تطور البروتوكول'!$A$28:$A$41</c:f>
              <c:strCache>
                <c:ptCount val="14"/>
                <c:pt idx="0">
                  <c:v>v1</c:v>
                </c:pt>
                <c:pt idx="1">
                  <c:v>v2</c:v>
                </c:pt>
                <c:pt idx="2">
                  <c:v>v3</c:v>
                </c:pt>
                <c:pt idx="3">
                  <c:v>v4</c:v>
                </c:pt>
                <c:pt idx="4">
                  <c:v>v5</c:v>
                </c:pt>
                <c:pt idx="5">
                  <c:v>v5-exp (Int 5)</c:v>
                </c:pt>
                <c:pt idx="6">
                  <c:v>v5-exp (Int 10)</c:v>
                </c:pt>
                <c:pt idx="7">
                  <c:v>v6 (Center)</c:v>
                </c:pt>
                <c:pt idx="8">
                  <c:v>v7 (Center)</c:v>
                </c:pt>
                <c:pt idx="9">
                  <c:v>v7.1 Multihop (Int 5)</c:v>
                </c:pt>
                <c:pt idx="10">
                  <c:v>v7.2 Multihop (Int 10)</c:v>
                </c:pt>
                <c:pt idx="11">
                  <c:v>v5b (Energy-Aware)</c:v>
                </c:pt>
                <c:pt idx="12">
                  <c:v>v8 (Center)</c:v>
                </c:pt>
                <c:pt idx="13">
                  <c:v>v8-Chain (Center)</c:v>
                </c:pt>
              </c:strCache>
            </c:strRef>
          </c:cat>
          <c:val>
            <c:numRef>
              <c:f>'تطور البروتوكول'!$D$28:$D$41</c:f>
              <c:numCache>
                <c:formatCode>#,##0</c:formatCode>
                <c:ptCount val="14"/>
                <c:pt idx="0">
                  <c:v>1318</c:v>
                </c:pt>
                <c:pt idx="1">
                  <c:v>1393</c:v>
                </c:pt>
                <c:pt idx="2">
                  <c:v>2703</c:v>
                </c:pt>
                <c:pt idx="3">
                  <c:v>2521</c:v>
                </c:pt>
                <c:pt idx="4">
                  <c:v>2416</c:v>
                </c:pt>
                <c:pt idx="5">
                  <c:v>2156</c:v>
                </c:pt>
                <c:pt idx="6">
                  <c:v>2291</c:v>
                </c:pt>
                <c:pt idx="7">
                  <c:v>2106</c:v>
                </c:pt>
                <c:pt idx="8">
                  <c:v>2066</c:v>
                </c:pt>
                <c:pt idx="9">
                  <c:v>2086</c:v>
                </c:pt>
                <c:pt idx="10">
                  <c:v>2241</c:v>
                </c:pt>
                <c:pt idx="11">
                  <c:v>3203</c:v>
                </c:pt>
                <c:pt idx="12">
                  <c:v>2761</c:v>
                </c:pt>
                <c:pt idx="13">
                  <c:v>2756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0100152"/>
        <c:axId val="54698122"/>
      </c:lineChart>
      <c:catAx>
        <c:axId val="30100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698122"/>
        <c:crosses val="autoZero"/>
        <c:auto val="1"/>
        <c:lblAlgn val="ctr"/>
        <c:lblOffset val="100"/>
        <c:noMultiLvlLbl val="0"/>
      </c:catAx>
      <c:valAx>
        <c:axId val="546981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Rounds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1001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العمر لما الـ BS بعيد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'نص مقابل بعيد'!F4</c:f>
              <c:strCache>
                <c:ptCount val="1"/>
                <c:pt idx="0">
                  <c:v>FND بعيد</c:v>
                </c:pt>
              </c:strCache>
            </c:strRef>
          </c:tx>
          <c:spPr>
            <a:solidFill>
              <a:srgbClr val="c9a09e"/>
            </a:solidFill>
            <a:ln w="0">
              <a:solidFill>
                <a:srgbClr val="c9a09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'نص مقابل بعيد'!$A$5:$A$9</c:f>
              <c:strCache>
                <c:ptCount val="5"/>
                <c:pt idx="0">
                  <c:v>v5b (Energy-Aware)</c:v>
                </c:pt>
                <c:pt idx="1">
                  <c:v>v6 (سلسلة ثابتة)</c:v>
                </c:pt>
                <c:pt idx="2">
                  <c:v>v7 (سلسلة + Backup + إصلاح)</c:v>
                </c:pt>
                <c:pt idx="3">
                  <c:v>v8</c:v>
                </c:pt>
                <c:pt idx="4">
                  <c:v>v8-Chain (توجيه ذكي)</c:v>
                </c:pt>
              </c:strCache>
            </c:strRef>
          </c:cat>
          <c:val>
            <c:numRef>
              <c:f>'نص مقابل بعيد'!$F$5:$F$9</c:f>
              <c:numCache>
                <c:formatCode>#,##0</c:formatCode>
                <c:ptCount val="5"/>
                <c:pt idx="0">
                  <c:v>1055</c:v>
                </c:pt>
                <c:pt idx="1">
                  <c:v>1266</c:v>
                </c:pt>
                <c:pt idx="2">
                  <c:v>1266</c:v>
                </c:pt>
                <c:pt idx="3">
                  <c:v>1471</c:v>
                </c:pt>
                <c:pt idx="4">
                  <c:v>1716</c:v>
                </c:pt>
              </c:numCache>
            </c:numRef>
          </c:val>
        </c:ser>
        <c:ser>
          <c:idx val="1"/>
          <c:order val="1"/>
          <c:tx>
            <c:strRef>
              <c:f>'نص مقابل بعيد'!G4</c:f>
              <c:strCache>
                <c:ptCount val="1"/>
                <c:pt idx="0">
                  <c:v>HND بعيد</c:v>
                </c:pt>
              </c:strCache>
            </c:strRef>
          </c:tx>
          <c:spPr>
            <a:solidFill>
              <a:srgbClr val="8a2522"/>
            </a:solidFill>
            <a:ln w="0">
              <a:solidFill>
                <a:srgbClr val="8a2522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'نص مقابل بعيد'!$A$5:$A$9</c:f>
              <c:strCache>
                <c:ptCount val="5"/>
                <c:pt idx="0">
                  <c:v>v5b (Energy-Aware)</c:v>
                </c:pt>
                <c:pt idx="1">
                  <c:v>v6 (سلسلة ثابتة)</c:v>
                </c:pt>
                <c:pt idx="2">
                  <c:v>v7 (سلسلة + Backup + إصلاح)</c:v>
                </c:pt>
                <c:pt idx="3">
                  <c:v>v8</c:v>
                </c:pt>
                <c:pt idx="4">
                  <c:v>v8-Chain (توجيه ذكي)</c:v>
                </c:pt>
              </c:strCache>
            </c:strRef>
          </c:cat>
          <c:val>
            <c:numRef>
              <c:f>'نص مقابل بعيد'!$G$5:$G$9</c:f>
              <c:numCache>
                <c:formatCode>#,##0</c:formatCode>
                <c:ptCount val="5"/>
                <c:pt idx="0">
                  <c:v>1616</c:v>
                </c:pt>
                <c:pt idx="1">
                  <c:v>1910</c:v>
                </c:pt>
                <c:pt idx="2">
                  <c:v>1891</c:v>
                </c:pt>
                <c:pt idx="3">
                  <c:v>1646</c:v>
                </c:pt>
                <c:pt idx="4">
                  <c:v>1886</c:v>
                </c:pt>
              </c:numCache>
            </c:numRef>
          </c:val>
        </c:ser>
        <c:ser>
          <c:idx val="2"/>
          <c:order val="2"/>
          <c:tx>
            <c:strRef>
              <c:f>'نص مقابل بعيد'!H4</c:f>
              <c:strCache>
                <c:ptCount val="1"/>
                <c:pt idx="0">
                  <c:v>LND بعيد</c:v>
                </c:pt>
              </c:strCache>
            </c:strRef>
          </c:tx>
          <c:spPr>
            <a:solidFill>
              <a:srgbClr val="323232"/>
            </a:solidFill>
            <a:ln w="0">
              <a:solidFill>
                <a:srgbClr val="323232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'نص مقابل بعيد'!$A$5:$A$9</c:f>
              <c:strCache>
                <c:ptCount val="5"/>
                <c:pt idx="0">
                  <c:v>v5b (Energy-Aware)</c:v>
                </c:pt>
                <c:pt idx="1">
                  <c:v>v6 (سلسلة ثابتة)</c:v>
                </c:pt>
                <c:pt idx="2">
                  <c:v>v7 (سلسلة + Backup + إصلاح)</c:v>
                </c:pt>
                <c:pt idx="3">
                  <c:v>v8</c:v>
                </c:pt>
                <c:pt idx="4">
                  <c:v>v8-Chain (توجيه ذكي)</c:v>
                </c:pt>
              </c:strCache>
            </c:strRef>
          </c:cat>
          <c:val>
            <c:numRef>
              <c:f>'نص مقابل بعيد'!$H$5:$H$9</c:f>
              <c:numCache>
                <c:formatCode>#,##0</c:formatCode>
                <c:ptCount val="5"/>
                <c:pt idx="0">
                  <c:v>1861</c:v>
                </c:pt>
                <c:pt idx="1">
                  <c:v>2031</c:v>
                </c:pt>
                <c:pt idx="2">
                  <c:v>1976</c:v>
                </c:pt>
                <c:pt idx="3">
                  <c:v>1716</c:v>
                </c:pt>
                <c:pt idx="4">
                  <c:v>1956</c:v>
                </c:pt>
              </c:numCache>
            </c:numRef>
          </c:val>
        </c:ser>
        <c:gapWidth val="150"/>
        <c:overlap val="0"/>
        <c:axId val="69728792"/>
        <c:axId val="74835865"/>
      </c:barChart>
      <c:catAx>
        <c:axId val="69728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835865"/>
        <c:crosses val="autoZero"/>
        <c:auto val="1"/>
        <c:lblAlgn val="ctr"/>
        <c:lblOffset val="100"/>
        <c:noMultiLvlLbl val="0"/>
      </c:catAx>
      <c:valAx>
        <c:axId val="748358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Rounds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7287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-354960</xdr:colOff>
      <xdr:row>2</xdr:row>
      <xdr:rowOff>144360</xdr:rowOff>
    </xdr:from>
    <xdr:to>
      <xdr:col>18</xdr:col>
      <xdr:colOff>0</xdr:colOff>
      <xdr:row>18</xdr:row>
      <xdr:rowOff>97920</xdr:rowOff>
    </xdr:to>
    <xdr:graphicFrame>
      <xdr:nvGraphicFramePr>
        <xdr:cNvPr id="0" name="Chart 1"/>
        <xdr:cNvGraphicFramePr/>
      </xdr:nvGraphicFramePr>
      <xdr:xfrm>
        <a:off x="-16848360" y="5716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-354960</xdr:colOff>
      <xdr:row>21</xdr:row>
      <xdr:rowOff>144000</xdr:rowOff>
    </xdr:from>
    <xdr:to>
      <xdr:col>18</xdr:col>
      <xdr:colOff>0</xdr:colOff>
      <xdr:row>35</xdr:row>
      <xdr:rowOff>176760</xdr:rowOff>
    </xdr:to>
    <xdr:graphicFrame>
      <xdr:nvGraphicFramePr>
        <xdr:cNvPr id="1" name="Chart 2"/>
        <xdr:cNvGraphicFramePr/>
      </xdr:nvGraphicFramePr>
      <xdr:xfrm>
        <a:off x="-16848360" y="442908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-288360</xdr:colOff>
      <xdr:row>24</xdr:row>
      <xdr:rowOff>131040</xdr:rowOff>
    </xdr:from>
    <xdr:to>
      <xdr:col>16</xdr:col>
      <xdr:colOff>0</xdr:colOff>
      <xdr:row>41</xdr:row>
      <xdr:rowOff>132120</xdr:rowOff>
    </xdr:to>
    <xdr:graphicFrame>
      <xdr:nvGraphicFramePr>
        <xdr:cNvPr id="2" name="Chart 1"/>
        <xdr:cNvGraphicFramePr/>
      </xdr:nvGraphicFramePr>
      <xdr:xfrm>
        <a:off x="-18081000" y="500076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-798840</xdr:colOff>
      <xdr:row>11</xdr:row>
      <xdr:rowOff>144000</xdr:rowOff>
    </xdr:from>
    <xdr:to>
      <xdr:col>6</xdr:col>
      <xdr:colOff>0</xdr:colOff>
      <xdr:row>27</xdr:row>
      <xdr:rowOff>155520</xdr:rowOff>
    </xdr:to>
    <xdr:graphicFrame>
      <xdr:nvGraphicFramePr>
        <xdr:cNvPr id="3" name="Chart 1"/>
        <xdr:cNvGraphicFramePr/>
      </xdr:nvGraphicFramePr>
      <xdr:xfrm>
        <a:off x="-7199640" y="252396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4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8.6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4" t="s">
        <v>13</v>
      </c>
      <c r="B10" s="5" t="s">
        <v>14</v>
      </c>
    </row>
    <row r="11" customFormat="false" ht="15" hidden="false" customHeight="false" outlineLevel="0" collapsed="false">
      <c r="A11" s="4" t="s">
        <v>15</v>
      </c>
      <c r="B11" s="5" t="s">
        <v>16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3" t="s">
        <v>17</v>
      </c>
    </row>
    <row r="14" customFormat="false" ht="15" hidden="false" customHeight="false" outlineLevel="0" collapsed="false">
      <c r="A14" s="4" t="s">
        <v>18</v>
      </c>
      <c r="B14" s="5" t="s">
        <v>19</v>
      </c>
    </row>
    <row r="15" customFormat="false" ht="15" hidden="false" customHeight="false" outlineLevel="0" collapsed="false">
      <c r="A15" s="4" t="s">
        <v>20</v>
      </c>
      <c r="B15" s="5" t="s">
        <v>21</v>
      </c>
    </row>
    <row r="16" customFormat="false" ht="15" hidden="false" customHeight="false" outlineLevel="0" collapsed="false">
      <c r="A16" s="4" t="s">
        <v>22</v>
      </c>
      <c r="B16" s="5" t="s">
        <v>23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3" t="s">
        <v>24</v>
      </c>
    </row>
    <row r="19" customFormat="false" ht="15" hidden="false" customHeight="false" outlineLevel="0" collapsed="false">
      <c r="A19" s="4" t="s">
        <v>25</v>
      </c>
      <c r="B19" s="5" t="s">
        <v>26</v>
      </c>
    </row>
    <row r="20" customFormat="false" ht="15" hidden="false" customHeight="false" outlineLevel="0" collapsed="false">
      <c r="A20" s="4" t="s">
        <v>27</v>
      </c>
      <c r="B20" s="5" t="s">
        <v>28</v>
      </c>
    </row>
    <row r="21" customFormat="false" ht="15" hidden="false" customHeight="false" outlineLevel="0" collapsed="false">
      <c r="A21" s="4" t="s">
        <v>29</v>
      </c>
      <c r="B21" s="5" t="s">
        <v>30</v>
      </c>
    </row>
    <row r="22" customFormat="false" ht="15" hidden="false" customHeight="false" outlineLevel="0" collapsed="false">
      <c r="A22" s="4" t="s">
        <v>31</v>
      </c>
      <c r="B22" s="5" t="s">
        <v>32</v>
      </c>
    </row>
    <row r="23" customFormat="false" ht="15" hidden="false" customHeight="false" outlineLevel="0" collapsed="false">
      <c r="A23" s="4" t="s">
        <v>33</v>
      </c>
      <c r="B23" s="5" t="s">
        <v>34</v>
      </c>
    </row>
    <row r="24" customFormat="false" ht="15" hidden="false" customHeight="false" outlineLevel="0" collapsed="false">
      <c r="A24" s="4" t="s">
        <v>35</v>
      </c>
      <c r="B24" s="5" t="s">
        <v>36</v>
      </c>
    </row>
    <row r="25" customFormat="false" ht="15" hidden="false" customHeight="false" outlineLevel="0" collapsed="false">
      <c r="A25" s="4" t="s">
        <v>37</v>
      </c>
      <c r="B25" s="5" t="s">
        <v>38</v>
      </c>
    </row>
    <row r="26" customFormat="false" ht="15" hidden="false" customHeight="false" outlineLevel="0" collapsed="false">
      <c r="A26" s="4" t="s">
        <v>39</v>
      </c>
      <c r="B26" s="5" t="s">
        <v>40</v>
      </c>
    </row>
    <row r="27" customFormat="false" ht="15" hidden="false" customHeight="false" outlineLevel="0" collapsed="false">
      <c r="A27" s="4" t="s">
        <v>41</v>
      </c>
      <c r="B27" s="5" t="s">
        <v>42</v>
      </c>
    </row>
    <row r="28" customFormat="false" ht="15" hidden="false" customHeight="false" outlineLevel="0" collapsed="false">
      <c r="A28" s="4" t="s">
        <v>43</v>
      </c>
      <c r="B28" s="5" t="s">
        <v>44</v>
      </c>
    </row>
    <row r="29" customFormat="false" ht="15" hidden="false" customHeight="false" outlineLevel="0" collapsed="false">
      <c r="A29" s="4" t="s">
        <v>45</v>
      </c>
      <c r="B29" s="5" t="s">
        <v>46</v>
      </c>
    </row>
    <row r="30" customFormat="false" ht="15" hidden="false" customHeight="false" outlineLevel="0" collapsed="false">
      <c r="A30" s="4" t="s">
        <v>47</v>
      </c>
      <c r="B30" s="5" t="s">
        <v>48</v>
      </c>
    </row>
    <row r="31" customFormat="false" ht="15" hidden="false" customHeight="false" outlineLevel="0" collapsed="false">
      <c r="A31" s="4" t="s">
        <v>49</v>
      </c>
      <c r="B31" s="5" t="s">
        <v>50</v>
      </c>
    </row>
    <row r="32" customFormat="false" ht="15" hidden="false" customHeight="false" outlineLevel="0" collapsed="false">
      <c r="A32" s="4" t="s">
        <v>51</v>
      </c>
      <c r="B32" s="5" t="s">
        <v>52</v>
      </c>
    </row>
    <row r="33" customFormat="false" ht="15" hidden="false" customHeight="false" outlineLevel="0" collapsed="false">
      <c r="A33" s="4" t="s">
        <v>53</v>
      </c>
      <c r="B33" s="5" t="s">
        <v>54</v>
      </c>
    </row>
    <row r="34" customFormat="false" ht="15" hidden="false" customHeight="false" outlineLevel="0" collapsed="false">
      <c r="A34" s="3"/>
    </row>
    <row r="35" customFormat="false" ht="15" hidden="false" customHeight="false" outlineLevel="0" collapsed="false">
      <c r="A35" s="3" t="s">
        <v>55</v>
      </c>
    </row>
    <row r="36" customFormat="false" ht="23.85" hidden="false" customHeight="false" outlineLevel="0" collapsed="false">
      <c r="A36" s="4" t="s">
        <v>56</v>
      </c>
      <c r="B36" s="5" t="s">
        <v>57</v>
      </c>
    </row>
    <row r="37" customFormat="false" ht="23.85" hidden="false" customHeight="false" outlineLevel="0" collapsed="false">
      <c r="A37" s="4" t="s">
        <v>58</v>
      </c>
      <c r="B37" s="5" t="s">
        <v>59</v>
      </c>
    </row>
    <row r="38" customFormat="false" ht="15" hidden="false" customHeight="false" outlineLevel="0" collapsed="false">
      <c r="A38" s="4" t="s">
        <v>60</v>
      </c>
      <c r="B38" s="5" t="s">
        <v>61</v>
      </c>
    </row>
    <row r="39" customFormat="false" ht="15" hidden="false" customHeight="false" outlineLevel="0" collapsed="false">
      <c r="A39" s="4" t="s">
        <v>62</v>
      </c>
      <c r="B39" s="5" t="s">
        <v>63</v>
      </c>
    </row>
    <row r="40" customFormat="false" ht="23.85" hidden="false" customHeight="false" outlineLevel="0" collapsed="false">
      <c r="A40" s="4" t="s">
        <v>64</v>
      </c>
      <c r="B40" s="5" t="s">
        <v>65</v>
      </c>
    </row>
    <row r="41" customFormat="false" ht="15" hidden="false" customHeight="false" outlineLevel="0" collapsed="false">
      <c r="A41" s="4" t="s">
        <v>66</v>
      </c>
      <c r="B41" s="5" t="s">
        <v>67</v>
      </c>
    </row>
    <row r="42" customFormat="false" ht="15" hidden="false" customHeight="false" outlineLevel="0" collapsed="false">
      <c r="A42" s="4" t="s">
        <v>68</v>
      </c>
      <c r="B42" s="5" t="s">
        <v>69</v>
      </c>
    </row>
    <row r="43" customFormat="false" ht="23.85" hidden="false" customHeight="false" outlineLevel="0" collapsed="false">
      <c r="A43" s="4" t="s">
        <v>70</v>
      </c>
      <c r="B43" s="5" t="s">
        <v>71</v>
      </c>
    </row>
    <row r="44" customFormat="false" ht="15" hidden="false" customHeight="false" outlineLevel="0" collapsed="false">
      <c r="A44" s="4" t="s">
        <v>72</v>
      </c>
      <c r="B44" s="5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7"/>
    <col collapsed="false" customWidth="true" hidden="false" outlineLevel="0" max="6" min="3" style="0" width="10"/>
  </cols>
  <sheetData>
    <row r="1" customFormat="false" ht="18.65" hidden="false" customHeight="false" outlineLevel="0" collapsed="false">
      <c r="A1" s="1" t="s">
        <v>74</v>
      </c>
    </row>
    <row r="2" customFormat="false" ht="15" hidden="false" customHeight="false" outlineLevel="0" collapsed="false">
      <c r="A2" s="2" t="s">
        <v>75</v>
      </c>
    </row>
    <row r="4" customFormat="false" ht="33.75" hidden="false" customHeight="true" outlineLevel="0" collapsed="false">
      <c r="A4" s="6" t="s">
        <v>76</v>
      </c>
      <c r="B4" s="6" t="s">
        <v>77</v>
      </c>
      <c r="C4" s="7" t="s">
        <v>78</v>
      </c>
      <c r="D4" s="7" t="s">
        <v>79</v>
      </c>
      <c r="E4" s="7" t="s">
        <v>80</v>
      </c>
      <c r="F4" s="7" t="s">
        <v>81</v>
      </c>
    </row>
    <row r="5" customFormat="false" ht="15" hidden="false" customHeight="false" outlineLevel="0" collapsed="false">
      <c r="A5" s="8" t="s">
        <v>82</v>
      </c>
      <c r="B5" s="8" t="s">
        <v>83</v>
      </c>
      <c r="C5" s="9" t="n">
        <f aca="false">INDEX('المقارنة الموحدة'!$E$5:$E$28,MATCH(1,INDEX(('المقارنة الموحدة'!$B$5:$B$28=A5)*('المقارنة الموحدة'!$C$5:$C$28=B5),0),0))</f>
        <v>1409</v>
      </c>
      <c r="D5" s="9" t="n">
        <f aca="false">INDEX('المقارنة الموحدة'!$F$5:$F$28,MATCH(1,INDEX(('المقارنة الموحدة'!$B$5:$B$28=A5)*('المقارنة الموحدة'!$C$5:$C$28=B5),0),0))</f>
        <v>1626</v>
      </c>
      <c r="E5" s="9" t="n">
        <f aca="false">INDEX('المقارنة الموحدة'!$G$5:$G$28,MATCH(1,INDEX(('المقارنة الموحدة'!$B$5:$B$28=A5)*('المقارنة الموحدة'!$C$5:$C$28=B5),0),0))</f>
        <v>1962</v>
      </c>
      <c r="F5" s="10" t="n">
        <f aca="false">INDEX('المقارنة الموحدة'!$H$5:$H$28,MATCH(1,INDEX(('المقارنة الموحدة'!$B$5:$B$28=A5)*('المقارنة الموحدة'!$C$5:$C$28=B5),0),0))</f>
        <v>0.9837</v>
      </c>
    </row>
    <row r="6" customFormat="false" ht="15" hidden="false" customHeight="false" outlineLevel="0" collapsed="false">
      <c r="A6" s="11" t="s">
        <v>84</v>
      </c>
      <c r="B6" s="11" t="s">
        <v>83</v>
      </c>
      <c r="C6" s="12" t="n">
        <f aca="false">INDEX('المقارنة الموحدة'!$E$5:$E$28,MATCH(1,INDEX(('المقارنة الموحدة'!$B$5:$B$28=A6)*('المقارنة الموحدة'!$C$5:$C$28=B6),0),0))</f>
        <v>323</v>
      </c>
      <c r="D6" s="12" t="n">
        <f aca="false">INDEX('المقارنة الموحدة'!$F$5:$F$28,MATCH(1,INDEX(('المقارنة الموحدة'!$B$5:$B$28=A6)*('المقارنة الموحدة'!$C$5:$C$28=B6),0),0))</f>
        <v>570</v>
      </c>
      <c r="E6" s="12" t="n">
        <f aca="false">INDEX('المقارنة الموحدة'!$G$5:$G$28,MATCH(1,INDEX(('المقارنة الموحدة'!$B$5:$B$28=A6)*('المقارنة الموحدة'!$C$5:$C$28=B6),0),0))</f>
        <v>1362</v>
      </c>
      <c r="F6" s="13" t="n">
        <f aca="false">INDEX('المقارنة الموحدة'!$H$5:$H$28,MATCH(1,INDEX(('المقارنة الموحدة'!$B$5:$B$28=A6)*('المقارنة الموحدة'!$C$5:$C$28=B6),0),0))</f>
        <v>0.9969</v>
      </c>
    </row>
    <row r="7" customFormat="false" ht="15" hidden="false" customHeight="false" outlineLevel="0" collapsed="false">
      <c r="A7" s="8" t="s">
        <v>85</v>
      </c>
      <c r="B7" s="8" t="s">
        <v>83</v>
      </c>
      <c r="C7" s="9" t="n">
        <f aca="false">INDEX('المقارنة الموحدة'!$E$5:$E$28,MATCH(1,INDEX(('المقارنة الموحدة'!$B$5:$B$28=A7)*('المقارنة الموحدة'!$C$5:$C$28=B7),0),0))</f>
        <v>1324</v>
      </c>
      <c r="D7" s="9" t="n">
        <f aca="false">INDEX('المقارنة الموحدة'!$F$5:$F$28,MATCH(1,INDEX(('المقارنة الموحدة'!$B$5:$B$28=A7)*('المقارنة الموحدة'!$C$5:$C$28=B7),0),0))</f>
        <v>2353</v>
      </c>
      <c r="E7" s="9" t="n">
        <f aca="false">INDEX('المقارنة الموحدة'!$G$5:$G$28,MATCH(1,INDEX(('المقارنة الموحدة'!$B$5:$B$28=A7)*('المقارنة الموحدة'!$C$5:$C$28=B7),0),0))</f>
        <v>2887</v>
      </c>
      <c r="F7" s="10" t="n">
        <f aca="false">INDEX('المقارنة الموحدة'!$H$5:$H$28,MATCH(1,INDEX(('المقارنة الموحدة'!$B$5:$B$28=A7)*('المقارنة الموحدة'!$C$5:$C$28=B7),0),0))</f>
        <v>0.9867</v>
      </c>
    </row>
    <row r="8" customFormat="false" ht="15" hidden="false" customHeight="false" outlineLevel="0" collapsed="false">
      <c r="A8" s="11" t="s">
        <v>86</v>
      </c>
      <c r="B8" s="11" t="s">
        <v>87</v>
      </c>
      <c r="C8" s="12" t="n">
        <f aca="false">INDEX('المقارنة الموحدة'!$E$5:$E$28,MATCH(1,INDEX(('المقارنة الموحدة'!$B$5:$B$28=A8)*('المقارنة الموحدة'!$C$5:$C$28=B8),0),0))</f>
        <v>1247</v>
      </c>
      <c r="D8" s="12" t="n">
        <f aca="false">INDEX('المقارنة الموحدة'!$F$5:$F$28,MATCH(1,INDEX(('المقارنة الموحدة'!$B$5:$B$28=A8)*('المقارنة الموحدة'!$C$5:$C$28=B8),0),0))</f>
        <v>1600</v>
      </c>
      <c r="E8" s="12" t="n">
        <f aca="false">INDEX('المقارنة الموحدة'!$G$5:$G$28,MATCH(1,INDEX(('المقارنة الموحدة'!$B$5:$B$28=A8)*('المقارنة الموحدة'!$C$5:$C$28=B8),0),0))</f>
        <v>1649</v>
      </c>
      <c r="F8" s="13" t="n">
        <f aca="false">INDEX('المقارنة الموحدة'!$H$5:$H$28,MATCH(1,INDEX(('المقارنة الموحدة'!$B$5:$B$28=A8)*('المقارنة الموحدة'!$C$5:$C$28=B8),0),0))</f>
        <v>0.9979</v>
      </c>
    </row>
    <row r="9" customFormat="false" ht="15" hidden="false" customHeight="false" outlineLevel="0" collapsed="false">
      <c r="A9" s="8" t="s">
        <v>88</v>
      </c>
      <c r="B9" s="8" t="s">
        <v>87</v>
      </c>
      <c r="C9" s="9" t="n">
        <f aca="false">INDEX('المقارنة الموحدة'!$E$5:$E$28,MATCH(1,INDEX(('المقارنة الموحدة'!$B$5:$B$28=A9)*('المقارنة الموحدة'!$C$5:$C$28=B9),0),0))</f>
        <v>2347</v>
      </c>
      <c r="D9" s="9" t="n">
        <f aca="false">INDEX('المقارنة الموحدة'!$F$5:$F$28,MATCH(1,INDEX(('المقارنة الموحدة'!$B$5:$B$28=A9)*('المقارنة الموحدة'!$C$5:$C$28=B9),0),0))</f>
        <v>2449</v>
      </c>
      <c r="E9" s="9" t="n">
        <f aca="false">INDEX('المقارنة الموحدة'!$G$5:$G$28,MATCH(1,INDEX(('المقارنة الموحدة'!$B$5:$B$28=A9)*('المقارنة الموحدة'!$C$5:$C$28=B9),0),0))</f>
        <v>2499</v>
      </c>
      <c r="F9" s="10" t="n">
        <f aca="false">INDEX('المقارنة الموحدة'!$H$5:$H$28,MATCH(1,INDEX(('المقارنة الموحدة'!$B$5:$B$28=A9)*('المقارنة الموحدة'!$C$5:$C$28=B9),0),0))</f>
        <v>0.9733</v>
      </c>
    </row>
    <row r="10" customFormat="false" ht="15" hidden="false" customHeight="false" outlineLevel="0" collapsed="false">
      <c r="A10" s="11" t="s">
        <v>89</v>
      </c>
      <c r="B10" s="11" t="s">
        <v>90</v>
      </c>
      <c r="C10" s="12" t="n">
        <f aca="false">INDEX('المقارنة الموحدة'!$E$5:$E$28,MATCH(1,INDEX(('المقارنة الموحدة'!$B$5:$B$28=A10)*('المقارنة الموحدة'!$C$5:$C$28=B10),0),0))</f>
        <v>1730</v>
      </c>
      <c r="D10" s="12" t="n">
        <f aca="false">INDEX('المقارنة الموحدة'!$F$5:$F$28,MATCH(1,INDEX(('المقارنة الموحدة'!$B$5:$B$28=A10)*('المقارنة الموحدة'!$C$5:$C$28=B10),0),0))</f>
        <v>2081</v>
      </c>
      <c r="E10" s="12" t="n">
        <f aca="false">INDEX('المقارنة الموحدة'!$G$5:$G$28,MATCH(1,INDEX(('المقارنة الموحدة'!$B$5:$B$28=A10)*('المقارنة الموحدة'!$C$5:$C$28=B10),0),0))</f>
        <v>2703</v>
      </c>
      <c r="F10" s="13" t="n">
        <f aca="false">INDEX('المقارنة الموحدة'!$H$5:$H$28,MATCH(1,INDEX(('المقارنة الموحدة'!$B$5:$B$28=A10)*('المقارنة الموحدة'!$C$5:$C$28=B10),0),0))</f>
        <v>0.9772</v>
      </c>
    </row>
    <row r="11" customFormat="false" ht="15" hidden="false" customHeight="false" outlineLevel="0" collapsed="false">
      <c r="A11" s="8" t="s">
        <v>91</v>
      </c>
      <c r="B11" s="8" t="s">
        <v>90</v>
      </c>
      <c r="C11" s="9" t="n">
        <f aca="false">INDEX('المقارنة الموحدة'!$E$5:$E$28,MATCH(1,INDEX(('المقارنة الموحدة'!$B$5:$B$28=A11)*('المقارنة الموحدة'!$C$5:$C$28=B11),0),0))</f>
        <v>1551</v>
      </c>
      <c r="D11" s="9" t="n">
        <f aca="false">INDEX('المقارنة الموحدة'!$F$5:$F$28,MATCH(1,INDEX(('المقارنة الموحدة'!$B$5:$B$28=A11)*('المقارنة الموحدة'!$C$5:$C$28=B11),0),0))</f>
        <v>1976</v>
      </c>
      <c r="E11" s="9" t="n">
        <f aca="false">INDEX('المقارنة الموحدة'!$G$5:$G$28,MATCH(1,INDEX(('المقارنة الموحدة'!$B$5:$B$28=A11)*('المقارنة الموحدة'!$C$5:$C$28=B11),0),0))</f>
        <v>2066</v>
      </c>
      <c r="F11" s="10" t="n">
        <f aca="false">INDEX('المقارنة الموحدة'!$H$5:$H$28,MATCH(1,INDEX(('المقارنة الموحدة'!$B$5:$B$28=A11)*('المقارنة الموحدة'!$C$5:$C$28=B11),0),0))</f>
        <v>0.98432</v>
      </c>
    </row>
    <row r="12" customFormat="false" ht="15" hidden="false" customHeight="false" outlineLevel="0" collapsed="false">
      <c r="A12" s="11" t="s">
        <v>92</v>
      </c>
      <c r="B12" s="11" t="s">
        <v>90</v>
      </c>
      <c r="C12" s="12" t="n">
        <f aca="false">INDEX('المقارنة الموحدة'!$E$5:$E$28,MATCH(1,INDEX(('المقارنة الموحدة'!$B$5:$B$28=A12)*('المقارنة الموحدة'!$C$5:$C$28=B12),0),0))</f>
        <v>1491</v>
      </c>
      <c r="D12" s="12" t="n">
        <f aca="false">INDEX('المقارنة الموحدة'!$F$5:$F$28,MATCH(1,INDEX(('المقارنة الموحدة'!$B$5:$B$28=A12)*('المقارنة الموحدة'!$C$5:$C$28=B12),0),0))</f>
        <v>1991</v>
      </c>
      <c r="E12" s="12" t="n">
        <f aca="false">INDEX('المقارنة الموحدة'!$G$5:$G$28,MATCH(1,INDEX(('المقارنة الموحدة'!$B$5:$B$28=A12)*('المقارنة الموحدة'!$C$5:$C$28=B12),0),0))</f>
        <v>2086</v>
      </c>
      <c r="F12" s="13" t="n">
        <f aca="false">INDEX('المقارنة الموحدة'!$H$5:$H$28,MATCH(1,INDEX(('المقارنة الموحدة'!$B$5:$B$28=A12)*('المقارنة الموحدة'!$C$5:$C$28=B12),0),0))</f>
        <v>0.9849</v>
      </c>
    </row>
    <row r="13" customFormat="false" ht="15" hidden="false" customHeight="false" outlineLevel="0" collapsed="false">
      <c r="A13" s="14" t="s">
        <v>93</v>
      </c>
      <c r="B13" s="14" t="s">
        <v>90</v>
      </c>
      <c r="C13" s="15" t="n">
        <f aca="false">INDEX('المقارنة الموحدة'!$E$5:$E$28,MATCH(1,INDEX(('المقارنة الموحدة'!$B$5:$B$28=A13)*('المقارنة الموحدة'!$C$5:$C$28=B13),0),0))</f>
        <v>2621</v>
      </c>
      <c r="D13" s="15" t="n">
        <f aca="false">INDEX('المقارنة الموحدة'!$F$5:$F$28,MATCH(1,INDEX(('المقارنة الموحدة'!$B$5:$B$28=A13)*('المقارنة الموحدة'!$C$5:$C$28=B13),0),0))</f>
        <v>2711</v>
      </c>
      <c r="E13" s="15" t="n">
        <f aca="false">INDEX('المقارنة الموحدة'!$G$5:$G$28,MATCH(1,INDEX(('المقارنة الموحدة'!$B$5:$B$28=A13)*('المقارنة الموحدة'!$C$5:$C$28=B13),0),0))</f>
        <v>2756</v>
      </c>
      <c r="F13" s="16" t="n">
        <f aca="false">INDEX('المقارنة الموحدة'!$H$5:$H$28,MATCH(1,INDEX(('المقارنة الموحدة'!$B$5:$B$28=A13)*('المقارنة الموحدة'!$C$5:$C$28=B13),0),0))</f>
        <v>0.992668</v>
      </c>
    </row>
    <row r="15" customFormat="false" ht="15" hidden="false" customHeight="false" outlineLevel="0" collapsed="false">
      <c r="A15" s="17" t="s">
        <v>94</v>
      </c>
    </row>
    <row r="16" customFormat="false" ht="15" hidden="false" customHeight="false" outlineLevel="0" collapsed="false">
      <c r="A16" s="18" t="s">
        <v>95</v>
      </c>
      <c r="C16" s="19" t="n">
        <f aca="false">C13/C9-1</f>
        <v>0.116744780570942</v>
      </c>
    </row>
    <row r="17" customFormat="false" ht="15" hidden="false" customHeight="false" outlineLevel="0" collapsed="false">
      <c r="A17" s="18" t="s">
        <v>96</v>
      </c>
      <c r="C17" s="19" t="n">
        <f aca="false">C13/C5-1</f>
        <v>0.860184528034067</v>
      </c>
    </row>
    <row r="18" customFormat="false" ht="15" hidden="false" customHeight="false" outlineLevel="0" collapsed="false">
      <c r="A18" s="18" t="s">
        <v>97</v>
      </c>
      <c r="C18" s="20" t="n">
        <f aca="false">(F13-F11)*100</f>
        <v>0.834800000000002</v>
      </c>
    </row>
    <row r="19" customFormat="false" ht="15" hidden="false" customHeight="false" outlineLevel="0" collapsed="false">
      <c r="A19" s="18" t="s">
        <v>98</v>
      </c>
      <c r="C19" s="19" t="n">
        <f aca="false">'نص مقابل بعيد'!F9/'نص مقابل بعيد'!F7-1</f>
        <v>0.355450236966825</v>
      </c>
    </row>
    <row r="21" customFormat="false" ht="15" hidden="false" customHeight="false" outlineLevel="0" collapsed="false">
      <c r="A21" s="2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100</v>
      </c>
    </row>
    <row r="2" customFormat="false" ht="15" hidden="false" customHeight="false" outlineLevel="0" collapsed="false">
      <c r="A2" s="2" t="s">
        <v>101</v>
      </c>
    </row>
    <row r="4" customFormat="false" ht="33.75" hidden="false" customHeight="true" outlineLevel="0" collapsed="false">
      <c r="A4" s="6" t="s">
        <v>102</v>
      </c>
      <c r="B4" s="6" t="s">
        <v>103</v>
      </c>
    </row>
    <row r="5" customFormat="false" ht="15" hidden="false" customHeight="false" outlineLevel="0" collapsed="false">
      <c r="A5" s="21" t="s">
        <v>104</v>
      </c>
      <c r="B5" s="22" t="s">
        <v>105</v>
      </c>
    </row>
    <row r="6" customFormat="false" ht="15" hidden="false" customHeight="false" outlineLevel="0" collapsed="false">
      <c r="A6" s="23" t="s">
        <v>106</v>
      </c>
      <c r="B6" s="24" t="s">
        <v>107</v>
      </c>
    </row>
    <row r="7" customFormat="false" ht="15" hidden="false" customHeight="false" outlineLevel="0" collapsed="false">
      <c r="A7" s="21" t="s">
        <v>108</v>
      </c>
      <c r="B7" s="22" t="s">
        <v>109</v>
      </c>
    </row>
    <row r="8" customFormat="false" ht="15" hidden="false" customHeight="false" outlineLevel="0" collapsed="false">
      <c r="A8" s="23" t="s">
        <v>110</v>
      </c>
      <c r="B8" s="24" t="s">
        <v>111</v>
      </c>
    </row>
    <row r="9" customFormat="false" ht="15" hidden="false" customHeight="false" outlineLevel="0" collapsed="false">
      <c r="A9" s="21" t="s">
        <v>112</v>
      </c>
      <c r="B9" s="22" t="s">
        <v>113</v>
      </c>
    </row>
    <row r="10" customFormat="false" ht="15" hidden="false" customHeight="false" outlineLevel="0" collapsed="false">
      <c r="A10" s="23" t="s">
        <v>114</v>
      </c>
      <c r="B10" s="24" t="s">
        <v>115</v>
      </c>
    </row>
    <row r="11" customFormat="false" ht="15" hidden="false" customHeight="false" outlineLevel="0" collapsed="false">
      <c r="A11" s="21" t="s">
        <v>116</v>
      </c>
      <c r="B11" s="22" t="s">
        <v>117</v>
      </c>
    </row>
    <row r="12" customFormat="false" ht="15" hidden="false" customHeight="false" outlineLevel="0" collapsed="false">
      <c r="A12" s="23" t="s">
        <v>118</v>
      </c>
      <c r="B12" s="24" t="s">
        <v>119</v>
      </c>
    </row>
    <row r="13" customFormat="false" ht="15" hidden="false" customHeight="false" outlineLevel="0" collapsed="false">
      <c r="A13" s="21" t="s">
        <v>120</v>
      </c>
      <c r="B13" s="22" t="s">
        <v>121</v>
      </c>
    </row>
    <row r="14" customFormat="false" ht="15" hidden="false" customHeight="false" outlineLevel="0" collapsed="false">
      <c r="A14" s="23" t="s">
        <v>81</v>
      </c>
      <c r="B14" s="24" t="s">
        <v>122</v>
      </c>
    </row>
    <row r="15" customFormat="false" ht="15" hidden="false" customHeight="false" outlineLevel="0" collapsed="false">
      <c r="A15" s="21" t="s">
        <v>123</v>
      </c>
      <c r="B15" s="22" t="s">
        <v>124</v>
      </c>
    </row>
    <row r="16" customFormat="false" ht="15" hidden="false" customHeight="false" outlineLevel="0" collapsed="false">
      <c r="A16" s="23" t="s">
        <v>125</v>
      </c>
      <c r="B16" s="24" t="s">
        <v>126</v>
      </c>
    </row>
    <row r="17" customFormat="false" ht="15" hidden="false" customHeight="false" outlineLevel="0" collapsed="false">
      <c r="A17" s="21" t="s">
        <v>127</v>
      </c>
      <c r="B17" s="22" t="s">
        <v>128</v>
      </c>
    </row>
    <row r="18" customFormat="false" ht="15" hidden="false" customHeight="false" outlineLevel="0" collapsed="false">
      <c r="A18" s="23" t="s">
        <v>129</v>
      </c>
      <c r="B18" s="24" t="s">
        <v>130</v>
      </c>
    </row>
    <row r="19" customFormat="false" ht="15" hidden="false" customHeight="false" outlineLevel="0" collapsed="false">
      <c r="A19" s="21" t="s">
        <v>131</v>
      </c>
      <c r="B19" s="22" t="s">
        <v>132</v>
      </c>
    </row>
    <row r="20" customFormat="false" ht="15" hidden="false" customHeight="false" outlineLevel="0" collapsed="false">
      <c r="A20" s="23" t="s">
        <v>133</v>
      </c>
      <c r="B20" s="24" t="s">
        <v>134</v>
      </c>
    </row>
    <row r="21" customFormat="false" ht="15" hidden="false" customHeight="false" outlineLevel="0" collapsed="false">
      <c r="A21" s="21" t="s">
        <v>135</v>
      </c>
      <c r="B21" s="22" t="s">
        <v>136</v>
      </c>
    </row>
    <row r="22" customFormat="false" ht="15" hidden="false" customHeight="false" outlineLevel="0" collapsed="false">
      <c r="A22" s="23" t="s">
        <v>137</v>
      </c>
      <c r="B22" s="24" t="s">
        <v>138</v>
      </c>
    </row>
    <row r="23" customFormat="false" ht="15" hidden="false" customHeight="false" outlineLevel="0" collapsed="false">
      <c r="A23" s="21" t="s">
        <v>139</v>
      </c>
      <c r="B23" s="21" t="s">
        <v>140</v>
      </c>
    </row>
    <row r="24" customFormat="false" ht="15" hidden="false" customHeight="false" outlineLevel="0" collapsed="false">
      <c r="A24" s="23" t="s">
        <v>141</v>
      </c>
      <c r="B24" s="24" t="s">
        <v>142</v>
      </c>
    </row>
    <row r="25" customFormat="false" ht="15" hidden="false" customHeight="false" outlineLevel="0" collapsed="false">
      <c r="A25" s="21" t="s">
        <v>143</v>
      </c>
      <c r="B25" s="22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7"/>
    <col collapsed="false" customWidth="true" hidden="false" outlineLevel="0" max="4" min="4" style="0" width="54"/>
    <col collapsed="false" customWidth="true" hidden="false" outlineLevel="0" max="7" min="5" style="0" width="9"/>
    <col collapsed="false" customWidth="true" hidden="false" outlineLevel="0" max="8" min="8" style="0" width="10"/>
    <col collapsed="false" customWidth="true" hidden="false" outlineLevel="0" max="10" min="9" style="0" width="14"/>
    <col collapsed="false" customWidth="true" hidden="false" outlineLevel="0" max="12" min="11" style="0" width="10"/>
  </cols>
  <sheetData>
    <row r="1" customFormat="false" ht="18.65" hidden="false" customHeight="false" outlineLevel="0" collapsed="false">
      <c r="A1" s="1" t="s">
        <v>145</v>
      </c>
    </row>
    <row r="2" customFormat="false" ht="15" hidden="false" customHeight="false" outlineLevel="0" collapsed="false">
      <c r="A2" s="2" t="s">
        <v>146</v>
      </c>
    </row>
    <row r="4" customFormat="false" ht="33.75" hidden="false" customHeight="true" outlineLevel="0" collapsed="false">
      <c r="A4" s="6" t="s">
        <v>147</v>
      </c>
      <c r="B4" s="6" t="s">
        <v>148</v>
      </c>
      <c r="C4" s="6" t="s">
        <v>77</v>
      </c>
      <c r="D4" s="6" t="s">
        <v>149</v>
      </c>
      <c r="E4" s="6" t="s">
        <v>78</v>
      </c>
      <c r="F4" s="6" t="s">
        <v>79</v>
      </c>
      <c r="G4" s="6" t="s">
        <v>80</v>
      </c>
      <c r="H4" s="6" t="s">
        <v>81</v>
      </c>
      <c r="I4" s="7" t="s">
        <v>150</v>
      </c>
      <c r="J4" s="7" t="s">
        <v>151</v>
      </c>
      <c r="K4" s="7" t="s">
        <v>152</v>
      </c>
      <c r="L4" s="7" t="s">
        <v>153</v>
      </c>
    </row>
    <row r="5" customFormat="false" ht="15" hidden="false" customHeight="false" outlineLevel="0" collapsed="false">
      <c r="A5" s="21" t="s">
        <v>154</v>
      </c>
      <c r="B5" s="21" t="s">
        <v>82</v>
      </c>
      <c r="C5" s="21" t="s">
        <v>83</v>
      </c>
      <c r="D5" s="21" t="s">
        <v>155</v>
      </c>
      <c r="E5" s="9" t="n">
        <v>1409</v>
      </c>
      <c r="F5" s="9" t="n">
        <v>1626</v>
      </c>
      <c r="G5" s="9" t="n">
        <v>1962</v>
      </c>
      <c r="H5" s="10" t="n">
        <v>0.9837</v>
      </c>
      <c r="I5" s="25" t="n">
        <f aca="false">G5/$G$5-1</f>
        <v>0</v>
      </c>
      <c r="J5" s="26" t="n">
        <f aca="false">E5/G5</f>
        <v>0.718144750254842</v>
      </c>
      <c r="K5" s="27" t="n">
        <f aca="false">RANK(G5,$G$5:$G$28)</f>
        <v>18</v>
      </c>
      <c r="L5" s="27" t="n">
        <f aca="false">RANK(H5,$H$5:$H$28)</f>
        <v>12</v>
      </c>
    </row>
    <row r="6" customFormat="false" ht="15" hidden="false" customHeight="false" outlineLevel="0" collapsed="false">
      <c r="A6" s="23" t="s">
        <v>154</v>
      </c>
      <c r="B6" s="23" t="s">
        <v>84</v>
      </c>
      <c r="C6" s="23" t="s">
        <v>83</v>
      </c>
      <c r="D6" s="24" t="s">
        <v>156</v>
      </c>
      <c r="E6" s="12" t="n">
        <v>323</v>
      </c>
      <c r="F6" s="12" t="n">
        <v>570</v>
      </c>
      <c r="G6" s="12" t="n">
        <v>1362</v>
      </c>
      <c r="H6" s="13" t="n">
        <v>0.9969</v>
      </c>
      <c r="I6" s="28" t="n">
        <f aca="false">G6/$G$5-1</f>
        <v>-0.305810397553517</v>
      </c>
      <c r="J6" s="29" t="n">
        <f aca="false">E6/G6</f>
        <v>0.237151248164464</v>
      </c>
      <c r="K6" s="30" t="n">
        <f aca="false">RANK(G6,$G$5:$G$28)</f>
        <v>23</v>
      </c>
      <c r="L6" s="30" t="n">
        <f aca="false">RANK(H6,$H$5:$H$28)</f>
        <v>4</v>
      </c>
    </row>
    <row r="7" customFormat="false" ht="15" hidden="false" customHeight="false" outlineLevel="0" collapsed="false">
      <c r="A7" s="21" t="s">
        <v>154</v>
      </c>
      <c r="B7" s="21" t="s">
        <v>157</v>
      </c>
      <c r="C7" s="21" t="s">
        <v>158</v>
      </c>
      <c r="D7" s="22" t="s">
        <v>159</v>
      </c>
      <c r="E7" s="9" t="n">
        <v>338</v>
      </c>
      <c r="F7" s="9" t="n">
        <v>549</v>
      </c>
      <c r="G7" s="9" t="n">
        <v>1502</v>
      </c>
      <c r="H7" s="10" t="n">
        <v>0.9967</v>
      </c>
      <c r="I7" s="25" t="n">
        <f aca="false">G7/$G$5-1</f>
        <v>-0.234454638124363</v>
      </c>
      <c r="J7" s="26" t="n">
        <f aca="false">E7/G7</f>
        <v>0.225033288948069</v>
      </c>
      <c r="K7" s="27" t="n">
        <f aca="false">RANK(G7,$G$5:$G$28)</f>
        <v>21</v>
      </c>
      <c r="L7" s="27" t="n">
        <f aca="false">RANK(H7,$H$5:$H$28)</f>
        <v>5</v>
      </c>
    </row>
    <row r="8" customFormat="false" ht="15" hidden="false" customHeight="false" outlineLevel="0" collapsed="false">
      <c r="A8" s="23" t="s">
        <v>154</v>
      </c>
      <c r="B8" s="23" t="s">
        <v>85</v>
      </c>
      <c r="C8" s="23" t="s">
        <v>83</v>
      </c>
      <c r="D8" s="24" t="s">
        <v>160</v>
      </c>
      <c r="E8" s="12" t="n">
        <v>1324</v>
      </c>
      <c r="F8" s="12" t="n">
        <v>2353</v>
      </c>
      <c r="G8" s="12" t="n">
        <v>2887</v>
      </c>
      <c r="H8" s="13" t="n">
        <v>0.9867</v>
      </c>
      <c r="I8" s="28" t="n">
        <f aca="false">G8/$G$5-1</f>
        <v>0.471457696228338</v>
      </c>
      <c r="J8" s="29" t="n">
        <f aca="false">E8/G8</f>
        <v>0.458607551091098</v>
      </c>
      <c r="K8" s="30" t="n">
        <f aca="false">RANK(G8,$G$5:$G$28)</f>
        <v>3</v>
      </c>
      <c r="L8" s="30" t="n">
        <f aca="false">RANK(H8,$H$5:$H$28)</f>
        <v>9</v>
      </c>
    </row>
    <row r="9" customFormat="false" ht="15" hidden="false" customHeight="false" outlineLevel="0" collapsed="false">
      <c r="A9" s="21" t="s">
        <v>161</v>
      </c>
      <c r="B9" s="21" t="s">
        <v>86</v>
      </c>
      <c r="C9" s="21" t="s">
        <v>83</v>
      </c>
      <c r="D9" s="21" t="s">
        <v>162</v>
      </c>
      <c r="E9" s="9" t="n">
        <v>1440</v>
      </c>
      <c r="F9" s="9" t="n">
        <v>1584</v>
      </c>
      <c r="G9" s="9" t="n">
        <v>1604</v>
      </c>
      <c r="H9" s="10" t="n">
        <v>0.9917</v>
      </c>
      <c r="I9" s="25" t="n">
        <f aca="false">G9/$G$5-1</f>
        <v>-0.182466870540265</v>
      </c>
      <c r="J9" s="26" t="n">
        <f aca="false">E9/G9</f>
        <v>0.897755610972569</v>
      </c>
      <c r="K9" s="27" t="n">
        <f aca="false">RANK(G9,$G$5:$G$28)</f>
        <v>20</v>
      </c>
      <c r="L9" s="27" t="n">
        <f aca="false">RANK(H9,$H$5:$H$28)</f>
        <v>8</v>
      </c>
    </row>
    <row r="10" customFormat="false" ht="15" hidden="false" customHeight="false" outlineLevel="0" collapsed="false">
      <c r="A10" s="23" t="s">
        <v>161</v>
      </c>
      <c r="B10" s="23" t="s">
        <v>86</v>
      </c>
      <c r="C10" s="23" t="s">
        <v>87</v>
      </c>
      <c r="D10" s="24" t="s">
        <v>163</v>
      </c>
      <c r="E10" s="12" t="n">
        <v>1247</v>
      </c>
      <c r="F10" s="12" t="n">
        <v>1600</v>
      </c>
      <c r="G10" s="12" t="n">
        <v>1649</v>
      </c>
      <c r="H10" s="13" t="n">
        <v>0.9979</v>
      </c>
      <c r="I10" s="28" t="n">
        <f aca="false">G10/$G$5-1</f>
        <v>-0.159531090723751</v>
      </c>
      <c r="J10" s="29" t="n">
        <f aca="false">E10/G10</f>
        <v>0.756215888417223</v>
      </c>
      <c r="K10" s="30" t="n">
        <f aca="false">RANK(G10,$G$5:$G$28)</f>
        <v>19</v>
      </c>
      <c r="L10" s="30" t="n">
        <f aca="false">RANK(H10,$H$5:$H$28)</f>
        <v>1</v>
      </c>
    </row>
    <row r="11" customFormat="false" ht="15" hidden="false" customHeight="false" outlineLevel="0" collapsed="false">
      <c r="A11" s="21" t="s">
        <v>161</v>
      </c>
      <c r="B11" s="21" t="s">
        <v>88</v>
      </c>
      <c r="C11" s="21" t="s">
        <v>83</v>
      </c>
      <c r="D11" s="21" t="s">
        <v>164</v>
      </c>
      <c r="E11" s="9" t="n">
        <v>2177</v>
      </c>
      <c r="F11" s="9" t="n">
        <v>2255</v>
      </c>
      <c r="G11" s="9" t="n">
        <v>2305</v>
      </c>
      <c r="H11" s="10" t="n">
        <v>0.9733</v>
      </c>
      <c r="I11" s="25" t="n">
        <f aca="false">G11/$G$5-1</f>
        <v>0.174821610601427</v>
      </c>
      <c r="J11" s="26" t="n">
        <f aca="false">E11/G11</f>
        <v>0.944468546637744</v>
      </c>
      <c r="K11" s="27" t="n">
        <f aca="false">RANK(G11,$G$5:$G$28)</f>
        <v>10</v>
      </c>
      <c r="L11" s="27" t="n">
        <f aca="false">RANK(H11,$H$5:$H$28)</f>
        <v>18</v>
      </c>
    </row>
    <row r="12" customFormat="false" ht="15" hidden="false" customHeight="false" outlineLevel="0" collapsed="false">
      <c r="A12" s="23" t="s">
        <v>161</v>
      </c>
      <c r="B12" s="23" t="s">
        <v>88</v>
      </c>
      <c r="C12" s="23" t="s">
        <v>87</v>
      </c>
      <c r="D12" s="24" t="s">
        <v>165</v>
      </c>
      <c r="E12" s="12" t="n">
        <v>2347</v>
      </c>
      <c r="F12" s="12" t="n">
        <v>2449</v>
      </c>
      <c r="G12" s="12" t="n">
        <v>2499</v>
      </c>
      <c r="H12" s="13" t="n">
        <v>0.9733</v>
      </c>
      <c r="I12" s="28" t="n">
        <f aca="false">G12/$G$5-1</f>
        <v>0.273700305810398</v>
      </c>
      <c r="J12" s="29" t="n">
        <f aca="false">E12/G12</f>
        <v>0.939175670268107</v>
      </c>
      <c r="K12" s="30" t="n">
        <f aca="false">RANK(G12,$G$5:$G$28)</f>
        <v>8</v>
      </c>
      <c r="L12" s="30" t="n">
        <f aca="false">RANK(H12,$H$5:$H$28)</f>
        <v>18</v>
      </c>
    </row>
    <row r="13" customFormat="false" ht="15" hidden="false" customHeight="false" outlineLevel="0" collapsed="false">
      <c r="A13" s="21" t="s">
        <v>166</v>
      </c>
      <c r="B13" s="21" t="s">
        <v>167</v>
      </c>
      <c r="C13" s="21" t="s">
        <v>83</v>
      </c>
      <c r="D13" s="22" t="s">
        <v>168</v>
      </c>
      <c r="E13" s="9" t="n">
        <v>1653</v>
      </c>
      <c r="F13" s="9" t="n">
        <v>2134</v>
      </c>
      <c r="G13" s="9" t="n">
        <v>2184</v>
      </c>
      <c r="H13" s="10" t="n">
        <v>0.9168</v>
      </c>
      <c r="I13" s="25" t="n">
        <f aca="false">G13/$G$5-1</f>
        <v>0.113149847094801</v>
      </c>
      <c r="J13" s="26" t="n">
        <f aca="false">E13/G13</f>
        <v>0.756868131868132</v>
      </c>
      <c r="K13" s="27" t="n">
        <f aca="false">RANK(G13,$G$5:$G$28)</f>
        <v>13</v>
      </c>
      <c r="L13" s="27" t="n">
        <f aca="false">RANK(H13,$H$5:$H$28)</f>
        <v>24</v>
      </c>
    </row>
    <row r="14" customFormat="false" ht="15" hidden="false" customHeight="false" outlineLevel="0" collapsed="false">
      <c r="A14" s="23" t="s">
        <v>166</v>
      </c>
      <c r="B14" s="23" t="s">
        <v>167</v>
      </c>
      <c r="C14" s="23" t="s">
        <v>87</v>
      </c>
      <c r="D14" s="24" t="s">
        <v>169</v>
      </c>
      <c r="E14" s="12" t="n">
        <v>2502</v>
      </c>
      <c r="F14" s="12" t="n">
        <v>3758</v>
      </c>
      <c r="G14" s="12" t="n">
        <v>3808</v>
      </c>
      <c r="H14" s="13" t="n">
        <v>0.9214</v>
      </c>
      <c r="I14" s="28" t="n">
        <f aca="false">G14/$G$5-1</f>
        <v>0.940876656472987</v>
      </c>
      <c r="J14" s="29" t="n">
        <f aca="false">E14/G14</f>
        <v>0.65703781512605</v>
      </c>
      <c r="K14" s="30" t="n">
        <f aca="false">RANK(G14,$G$5:$G$28)</f>
        <v>1</v>
      </c>
      <c r="L14" s="30" t="n">
        <f aca="false">RANK(H14,$H$5:$H$28)</f>
        <v>23</v>
      </c>
    </row>
    <row r="15" customFormat="false" ht="15" hidden="false" customHeight="false" outlineLevel="0" collapsed="false">
      <c r="A15" s="21" t="s">
        <v>90</v>
      </c>
      <c r="B15" s="21" t="s">
        <v>170</v>
      </c>
      <c r="C15" s="21" t="s">
        <v>90</v>
      </c>
      <c r="D15" s="22" t="s">
        <v>171</v>
      </c>
      <c r="E15" s="9" t="n">
        <v>330</v>
      </c>
      <c r="F15" s="9" t="n">
        <v>557</v>
      </c>
      <c r="G15" s="9" t="n">
        <v>1318</v>
      </c>
      <c r="H15" s="10" t="n">
        <v>0.9974</v>
      </c>
      <c r="I15" s="25" t="n">
        <f aca="false">G15/$G$5-1</f>
        <v>-0.328236493374108</v>
      </c>
      <c r="J15" s="26" t="n">
        <f aca="false">E15/G15</f>
        <v>0.250379362670713</v>
      </c>
      <c r="K15" s="27" t="n">
        <f aca="false">RANK(G15,$G$5:$G$28)</f>
        <v>24</v>
      </c>
      <c r="L15" s="27" t="n">
        <f aca="false">RANK(H15,$H$5:$H$28)</f>
        <v>3</v>
      </c>
    </row>
    <row r="16" customFormat="false" ht="15" hidden="false" customHeight="false" outlineLevel="0" collapsed="false">
      <c r="A16" s="23" t="s">
        <v>90</v>
      </c>
      <c r="B16" s="23" t="s">
        <v>172</v>
      </c>
      <c r="C16" s="23" t="s">
        <v>90</v>
      </c>
      <c r="D16" s="24" t="s">
        <v>159</v>
      </c>
      <c r="E16" s="12" t="n">
        <v>345</v>
      </c>
      <c r="F16" s="12" t="n">
        <v>534</v>
      </c>
      <c r="G16" s="12" t="n">
        <v>1393</v>
      </c>
      <c r="H16" s="13" t="n">
        <v>0.9979</v>
      </c>
      <c r="I16" s="28" t="n">
        <f aca="false">G16/$G$5-1</f>
        <v>-0.290010193679918</v>
      </c>
      <c r="J16" s="29" t="n">
        <f aca="false">E16/G16</f>
        <v>0.247666905958363</v>
      </c>
      <c r="K16" s="30" t="n">
        <f aca="false">RANK(G16,$G$5:$G$28)</f>
        <v>22</v>
      </c>
      <c r="L16" s="30" t="n">
        <f aca="false">RANK(H16,$H$5:$H$28)</f>
        <v>1</v>
      </c>
    </row>
    <row r="17" customFormat="false" ht="15" hidden="false" customHeight="false" outlineLevel="0" collapsed="false">
      <c r="A17" s="21" t="s">
        <v>90</v>
      </c>
      <c r="B17" s="21" t="s">
        <v>89</v>
      </c>
      <c r="C17" s="21" t="s">
        <v>90</v>
      </c>
      <c r="D17" s="22" t="s">
        <v>173</v>
      </c>
      <c r="E17" s="9" t="n">
        <v>1730</v>
      </c>
      <c r="F17" s="9" t="n">
        <v>2081</v>
      </c>
      <c r="G17" s="9" t="n">
        <v>2703</v>
      </c>
      <c r="H17" s="10" t="n">
        <v>0.9772</v>
      </c>
      <c r="I17" s="25" t="n">
        <f aca="false">G17/$G$5-1</f>
        <v>0.377675840978593</v>
      </c>
      <c r="J17" s="26" t="n">
        <f aca="false">E17/G17</f>
        <v>0.640029596744358</v>
      </c>
      <c r="K17" s="27" t="n">
        <f aca="false">RANK(G17,$G$5:$G$28)</f>
        <v>6</v>
      </c>
      <c r="L17" s="27" t="n">
        <f aca="false">RANK(H17,$H$5:$H$28)</f>
        <v>16</v>
      </c>
    </row>
    <row r="18" customFormat="false" ht="15" hidden="false" customHeight="false" outlineLevel="0" collapsed="false">
      <c r="A18" s="23" t="s">
        <v>90</v>
      </c>
      <c r="B18" s="23" t="s">
        <v>174</v>
      </c>
      <c r="C18" s="23" t="s">
        <v>90</v>
      </c>
      <c r="D18" s="24" t="s">
        <v>175</v>
      </c>
      <c r="E18" s="12" t="n">
        <v>1513</v>
      </c>
      <c r="F18" s="12" t="n">
        <v>2219</v>
      </c>
      <c r="G18" s="12" t="n">
        <v>2521</v>
      </c>
      <c r="H18" s="13" t="n">
        <v>0.9467</v>
      </c>
      <c r="I18" s="28" t="n">
        <f aca="false">G18/$G$5-1</f>
        <v>0.284913353720693</v>
      </c>
      <c r="J18" s="29" t="n">
        <f aca="false">E18/G18</f>
        <v>0.600158667195557</v>
      </c>
      <c r="K18" s="30" t="n">
        <f aca="false">RANK(G18,$G$5:$G$28)</f>
        <v>7</v>
      </c>
      <c r="L18" s="30" t="n">
        <f aca="false">RANK(H18,$H$5:$H$28)</f>
        <v>22</v>
      </c>
    </row>
    <row r="19" customFormat="false" ht="15" hidden="false" customHeight="false" outlineLevel="0" collapsed="false">
      <c r="A19" s="21" t="s">
        <v>90</v>
      </c>
      <c r="B19" s="21" t="s">
        <v>176</v>
      </c>
      <c r="C19" s="21" t="s">
        <v>90</v>
      </c>
      <c r="D19" s="21" t="s">
        <v>177</v>
      </c>
      <c r="E19" s="9" t="n">
        <v>1513</v>
      </c>
      <c r="F19" s="9" t="n">
        <v>2127</v>
      </c>
      <c r="G19" s="9" t="n">
        <v>2416</v>
      </c>
      <c r="H19" s="10" t="n">
        <v>0.9705</v>
      </c>
      <c r="I19" s="25" t="n">
        <f aca="false">G19/$G$5-1</f>
        <v>0.231396534148828</v>
      </c>
      <c r="J19" s="26" t="n">
        <f aca="false">E19/G19</f>
        <v>0.626241721854305</v>
      </c>
      <c r="K19" s="27" t="n">
        <f aca="false">RANK(G19,$G$5:$G$28)</f>
        <v>9</v>
      </c>
      <c r="L19" s="27" t="n">
        <f aca="false">RANK(H19,$H$5:$H$28)</f>
        <v>21</v>
      </c>
    </row>
    <row r="20" customFormat="false" ht="15" hidden="false" customHeight="false" outlineLevel="0" collapsed="false">
      <c r="A20" s="23" t="s">
        <v>90</v>
      </c>
      <c r="B20" s="23" t="s">
        <v>178</v>
      </c>
      <c r="C20" s="23" t="s">
        <v>90</v>
      </c>
      <c r="D20" s="24" t="s">
        <v>179</v>
      </c>
      <c r="E20" s="12" t="n">
        <v>1730</v>
      </c>
      <c r="F20" s="12" t="n">
        <v>2086</v>
      </c>
      <c r="G20" s="12" t="n">
        <v>2156</v>
      </c>
      <c r="H20" s="13" t="n">
        <v>0.9827</v>
      </c>
      <c r="I20" s="28" t="n">
        <f aca="false">G20/$G$5-1</f>
        <v>0.0988786952089704</v>
      </c>
      <c r="J20" s="29" t="n">
        <f aca="false">E20/G20</f>
        <v>0.802411873840445</v>
      </c>
      <c r="K20" s="30" t="n">
        <f aca="false">RANK(G20,$G$5:$G$28)</f>
        <v>14</v>
      </c>
      <c r="L20" s="30" t="n">
        <f aca="false">RANK(H20,$H$5:$H$28)</f>
        <v>13</v>
      </c>
    </row>
    <row r="21" customFormat="false" ht="15" hidden="false" customHeight="false" outlineLevel="0" collapsed="false">
      <c r="A21" s="21" t="s">
        <v>90</v>
      </c>
      <c r="B21" s="21" t="s">
        <v>180</v>
      </c>
      <c r="C21" s="21" t="s">
        <v>90</v>
      </c>
      <c r="D21" s="22" t="s">
        <v>181</v>
      </c>
      <c r="E21" s="9" t="n">
        <v>1621</v>
      </c>
      <c r="F21" s="9" t="n">
        <v>2141</v>
      </c>
      <c r="G21" s="9" t="n">
        <v>2291</v>
      </c>
      <c r="H21" s="10" t="n">
        <v>0.9794</v>
      </c>
      <c r="I21" s="25" t="n">
        <f aca="false">G21/$G$5-1</f>
        <v>0.167686034658512</v>
      </c>
      <c r="J21" s="26" t="n">
        <f aca="false">E21/G21</f>
        <v>0.707551287647316</v>
      </c>
      <c r="K21" s="27" t="n">
        <f aca="false">RANK(G21,$G$5:$G$28)</f>
        <v>11</v>
      </c>
      <c r="L21" s="27" t="n">
        <f aca="false">RANK(H21,$H$5:$H$28)</f>
        <v>14</v>
      </c>
    </row>
    <row r="22" customFormat="false" ht="15" hidden="false" customHeight="false" outlineLevel="0" collapsed="false">
      <c r="A22" s="23" t="s">
        <v>90</v>
      </c>
      <c r="B22" s="23" t="s">
        <v>182</v>
      </c>
      <c r="C22" s="23" t="s">
        <v>90</v>
      </c>
      <c r="D22" s="23" t="s">
        <v>183</v>
      </c>
      <c r="E22" s="12" t="n">
        <v>1551</v>
      </c>
      <c r="F22" s="12" t="n">
        <v>1981</v>
      </c>
      <c r="G22" s="12" t="n">
        <v>2106</v>
      </c>
      <c r="H22" s="13" t="n">
        <v>0.97494</v>
      </c>
      <c r="I22" s="28" t="n">
        <f aca="false">G22/$G$5-1</f>
        <v>0.073394495412844</v>
      </c>
      <c r="J22" s="29" t="n">
        <f aca="false">E22/G22</f>
        <v>0.736467236467236</v>
      </c>
      <c r="K22" s="30" t="n">
        <f aca="false">RANK(G22,$G$5:$G$28)</f>
        <v>15</v>
      </c>
      <c r="L22" s="30" t="n">
        <f aca="false">RANK(H22,$H$5:$H$28)</f>
        <v>17</v>
      </c>
    </row>
    <row r="23" customFormat="false" ht="15" hidden="false" customHeight="false" outlineLevel="0" collapsed="false">
      <c r="A23" s="21" t="s">
        <v>90</v>
      </c>
      <c r="B23" s="21" t="s">
        <v>91</v>
      </c>
      <c r="C23" s="21" t="s">
        <v>90</v>
      </c>
      <c r="D23" s="22" t="s">
        <v>184</v>
      </c>
      <c r="E23" s="9" t="n">
        <v>1551</v>
      </c>
      <c r="F23" s="9" t="n">
        <v>1976</v>
      </c>
      <c r="G23" s="9" t="n">
        <v>2066</v>
      </c>
      <c r="H23" s="10" t="n">
        <v>0.98432</v>
      </c>
      <c r="I23" s="25" t="n">
        <f aca="false">G23/$G$5-1</f>
        <v>0.0530071355759429</v>
      </c>
      <c r="J23" s="26" t="n">
        <f aca="false">E23/G23</f>
        <v>0.750726040658277</v>
      </c>
      <c r="K23" s="27" t="n">
        <f aca="false">RANK(G23,$G$5:$G$28)</f>
        <v>17</v>
      </c>
      <c r="L23" s="27" t="n">
        <f aca="false">RANK(H23,$H$5:$H$28)</f>
        <v>11</v>
      </c>
    </row>
    <row r="24" customFormat="false" ht="15" hidden="false" customHeight="false" outlineLevel="0" collapsed="false">
      <c r="A24" s="23" t="s">
        <v>90</v>
      </c>
      <c r="B24" s="23" t="s">
        <v>92</v>
      </c>
      <c r="C24" s="23" t="s">
        <v>90</v>
      </c>
      <c r="D24" s="24" t="s">
        <v>185</v>
      </c>
      <c r="E24" s="12" t="n">
        <v>1491</v>
      </c>
      <c r="F24" s="12" t="n">
        <v>1991</v>
      </c>
      <c r="G24" s="12" t="n">
        <v>2086</v>
      </c>
      <c r="H24" s="13" t="n">
        <v>0.9849</v>
      </c>
      <c r="I24" s="28" t="n">
        <f aca="false">G24/$G$5-1</f>
        <v>0.0632008154943935</v>
      </c>
      <c r="J24" s="29" t="n">
        <f aca="false">E24/G24</f>
        <v>0.714765100671141</v>
      </c>
      <c r="K24" s="30" t="n">
        <f aca="false">RANK(G24,$G$5:$G$28)</f>
        <v>16</v>
      </c>
      <c r="L24" s="30" t="n">
        <f aca="false">RANK(H24,$H$5:$H$28)</f>
        <v>10</v>
      </c>
    </row>
    <row r="25" customFormat="false" ht="15" hidden="false" customHeight="false" outlineLevel="0" collapsed="false">
      <c r="A25" s="21" t="s">
        <v>90</v>
      </c>
      <c r="B25" s="21" t="s">
        <v>186</v>
      </c>
      <c r="C25" s="21" t="s">
        <v>90</v>
      </c>
      <c r="D25" s="21" t="s">
        <v>187</v>
      </c>
      <c r="E25" s="9" t="n">
        <v>1381</v>
      </c>
      <c r="F25" s="9" t="n">
        <v>2071</v>
      </c>
      <c r="G25" s="9" t="n">
        <v>2241</v>
      </c>
      <c r="H25" s="10" t="n">
        <v>0.97878</v>
      </c>
      <c r="I25" s="25" t="n">
        <f aca="false">G25/$G$5-1</f>
        <v>0.142201834862385</v>
      </c>
      <c r="J25" s="26" t="n">
        <f aca="false">E25/G25</f>
        <v>0.616242748772869</v>
      </c>
      <c r="K25" s="27" t="n">
        <f aca="false">RANK(G25,$G$5:$G$28)</f>
        <v>12</v>
      </c>
      <c r="L25" s="27" t="n">
        <f aca="false">RANK(H25,$H$5:$H$28)</f>
        <v>15</v>
      </c>
    </row>
    <row r="26" customFormat="false" ht="15" hidden="false" customHeight="false" outlineLevel="0" collapsed="false">
      <c r="A26" s="23" t="s">
        <v>90</v>
      </c>
      <c r="B26" s="23" t="s">
        <v>188</v>
      </c>
      <c r="C26" s="23" t="s">
        <v>90</v>
      </c>
      <c r="D26" s="24" t="s">
        <v>189</v>
      </c>
      <c r="E26" s="12" t="n">
        <v>1730</v>
      </c>
      <c r="F26" s="12" t="n">
        <v>2091</v>
      </c>
      <c r="G26" s="12" t="n">
        <v>3203</v>
      </c>
      <c r="H26" s="13" t="n">
        <v>0.973087</v>
      </c>
      <c r="I26" s="28" t="n">
        <f aca="false">G26/$G$5-1</f>
        <v>0.632517838939857</v>
      </c>
      <c r="J26" s="29" t="n">
        <f aca="false">E26/G26</f>
        <v>0.540118638776147</v>
      </c>
      <c r="K26" s="30" t="n">
        <f aca="false">RANK(G26,$G$5:$G$28)</f>
        <v>2</v>
      </c>
      <c r="L26" s="30" t="n">
        <f aca="false">RANK(H26,$H$5:$H$28)</f>
        <v>20</v>
      </c>
    </row>
    <row r="27" customFormat="false" ht="15" hidden="false" customHeight="false" outlineLevel="0" collapsed="false">
      <c r="A27" s="31" t="s">
        <v>90</v>
      </c>
      <c r="B27" s="31" t="s">
        <v>190</v>
      </c>
      <c r="C27" s="31" t="s">
        <v>90</v>
      </c>
      <c r="D27" s="32" t="s">
        <v>191</v>
      </c>
      <c r="E27" s="15" t="n">
        <v>2621</v>
      </c>
      <c r="F27" s="15" t="n">
        <v>2711</v>
      </c>
      <c r="G27" s="15" t="n">
        <v>2761</v>
      </c>
      <c r="H27" s="16" t="n">
        <v>0.992224</v>
      </c>
      <c r="I27" s="33" t="n">
        <f aca="false">G27/$G$5-1</f>
        <v>0.4072375127421</v>
      </c>
      <c r="J27" s="34" t="n">
        <f aca="false">E27/G27</f>
        <v>0.949293734154292</v>
      </c>
      <c r="K27" s="35" t="n">
        <f aca="false">RANK(G27,$G$5:$G$28)</f>
        <v>4</v>
      </c>
      <c r="L27" s="35" t="n">
        <f aca="false">RANK(H27,$H$5:$H$28)</f>
        <v>7</v>
      </c>
    </row>
    <row r="28" customFormat="false" ht="15" hidden="false" customHeight="false" outlineLevel="0" collapsed="false">
      <c r="A28" s="31" t="s">
        <v>90</v>
      </c>
      <c r="B28" s="31" t="s">
        <v>93</v>
      </c>
      <c r="C28" s="31" t="s">
        <v>90</v>
      </c>
      <c r="D28" s="32" t="s">
        <v>192</v>
      </c>
      <c r="E28" s="15" t="n">
        <v>2621</v>
      </c>
      <c r="F28" s="15" t="n">
        <v>2711</v>
      </c>
      <c r="G28" s="15" t="n">
        <v>2756</v>
      </c>
      <c r="H28" s="16" t="n">
        <v>0.992668</v>
      </c>
      <c r="I28" s="33" t="n">
        <f aca="false">G28/$G$5-1</f>
        <v>0.404689092762487</v>
      </c>
      <c r="J28" s="34" t="n">
        <f aca="false">E28/G28</f>
        <v>0.951015965166909</v>
      </c>
      <c r="K28" s="35" t="n">
        <f aca="false">RANK(G28,$G$5:$G$28)</f>
        <v>5</v>
      </c>
      <c r="L28" s="35" t="n">
        <f aca="false">RANK(H28,$H$5:$H$28)</f>
        <v>6</v>
      </c>
    </row>
    <row r="30" customFormat="false" ht="15" hidden="false" customHeight="false" outlineLevel="0" collapsed="false">
      <c r="A30" s="2" t="s">
        <v>193</v>
      </c>
    </row>
    <row r="31" customFormat="false" ht="15" hidden="false" customHeight="false" outlineLevel="0" collapsed="false">
      <c r="A31" s="2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1"/>
    <col collapsed="false" customWidth="true" hidden="false" outlineLevel="0" max="7" min="4" style="0" width="12"/>
    <col collapsed="false" customWidth="true" hidden="false" outlineLevel="0" max="11" min="8" style="0" width="10"/>
    <col collapsed="false" customWidth="true" hidden="false" outlineLevel="0" max="13" min="12" style="0" width="16"/>
    <col collapsed="false" customWidth="true" hidden="false" outlineLevel="0" max="14" min="14" style="0" width="40"/>
    <col collapsed="false" customWidth="true" hidden="false" outlineLevel="0" max="15" min="15" style="0" width="44"/>
  </cols>
  <sheetData>
    <row r="1" customFormat="false" ht="19.7" hidden="false" customHeight="false" outlineLevel="0" collapsed="false">
      <c r="A1" s="1" t="s">
        <v>195</v>
      </c>
    </row>
    <row r="2" customFormat="false" ht="15" hidden="false" customHeight="false" outlineLevel="0" collapsed="false">
      <c r="A2" s="2" t="s">
        <v>196</v>
      </c>
    </row>
    <row r="4" customFormat="false" ht="33.75" hidden="false" customHeight="true" outlineLevel="0" collapsed="false">
      <c r="A4" s="6" t="s">
        <v>76</v>
      </c>
      <c r="B4" s="6" t="s">
        <v>197</v>
      </c>
      <c r="C4" s="6" t="s">
        <v>198</v>
      </c>
      <c r="D4" s="6" t="s">
        <v>199</v>
      </c>
      <c r="E4" s="6" t="s">
        <v>200</v>
      </c>
      <c r="F4" s="6" t="s">
        <v>201</v>
      </c>
      <c r="G4" s="6" t="s">
        <v>202</v>
      </c>
      <c r="H4" s="6" t="s">
        <v>203</v>
      </c>
      <c r="I4" s="6" t="s">
        <v>204</v>
      </c>
      <c r="J4" s="6" t="s">
        <v>205</v>
      </c>
      <c r="K4" s="6" t="s">
        <v>206</v>
      </c>
      <c r="L4" s="7" t="s">
        <v>207</v>
      </c>
      <c r="M4" s="7" t="s">
        <v>208</v>
      </c>
      <c r="N4" s="6" t="s">
        <v>209</v>
      </c>
      <c r="O4" s="6" t="s">
        <v>210</v>
      </c>
    </row>
    <row r="5" customFormat="false" ht="15" hidden="false" customHeight="false" outlineLevel="0" collapsed="false">
      <c r="A5" s="21" t="s">
        <v>82</v>
      </c>
      <c r="B5" s="9" t="n">
        <v>932</v>
      </c>
      <c r="C5" s="9" t="n">
        <v>1312</v>
      </c>
      <c r="D5" s="9" t="n">
        <v>882</v>
      </c>
      <c r="E5" s="9" t="n">
        <v>970</v>
      </c>
      <c r="F5" s="9" t="n">
        <v>1321</v>
      </c>
      <c r="G5" s="10" t="n">
        <v>0.9802</v>
      </c>
      <c r="H5" s="9" t="n">
        <v>1409</v>
      </c>
      <c r="I5" s="9" t="n">
        <v>1626</v>
      </c>
      <c r="J5" s="9" t="n">
        <v>1962</v>
      </c>
      <c r="K5" s="10" t="n">
        <v>0.9837</v>
      </c>
      <c r="L5" s="36" t="n">
        <f aca="false">IF(ISNUMBER(C5),F5/C5-1,"—")</f>
        <v>0.00685975609756095</v>
      </c>
      <c r="M5" s="25" t="n">
        <f aca="false">J5/F5-1</f>
        <v>0.485238455715367</v>
      </c>
      <c r="N5" s="22" t="s">
        <v>211</v>
      </c>
      <c r="O5" s="22" t="s">
        <v>212</v>
      </c>
    </row>
    <row r="6" customFormat="false" ht="15" hidden="false" customHeight="false" outlineLevel="0" collapsed="false">
      <c r="A6" s="23" t="s">
        <v>84</v>
      </c>
      <c r="B6" s="11" t="s">
        <v>213</v>
      </c>
      <c r="C6" s="11" t="s">
        <v>214</v>
      </c>
      <c r="D6" s="12" t="n">
        <v>1106</v>
      </c>
      <c r="E6" s="12" t="n">
        <v>1626</v>
      </c>
      <c r="F6" s="12" t="n">
        <v>1996</v>
      </c>
      <c r="G6" s="13" t="n">
        <v>0.9997</v>
      </c>
      <c r="H6" s="12" t="n">
        <v>323</v>
      </c>
      <c r="I6" s="12" t="n">
        <v>570</v>
      </c>
      <c r="J6" s="12" t="n">
        <v>1362</v>
      </c>
      <c r="K6" s="13" t="n">
        <v>0.9969</v>
      </c>
      <c r="L6" s="37" t="str">
        <f aca="false">IF(ISNUMBER(C6),F6/C6-1,"—")</f>
        <v>—</v>
      </c>
      <c r="M6" s="28" t="n">
        <f aca="false">J6/F6-1</f>
        <v>-0.317635270541082</v>
      </c>
      <c r="N6" s="24" t="s">
        <v>215</v>
      </c>
      <c r="O6" s="24" t="s">
        <v>216</v>
      </c>
    </row>
    <row r="7" customFormat="false" ht="15" hidden="false" customHeight="false" outlineLevel="0" collapsed="false">
      <c r="A7" s="21" t="s">
        <v>85</v>
      </c>
      <c r="B7" s="9" t="n">
        <v>1578</v>
      </c>
      <c r="C7" s="9" t="n">
        <v>2192</v>
      </c>
      <c r="D7" s="9" t="n">
        <v>1614</v>
      </c>
      <c r="E7" s="9" t="n">
        <v>2036</v>
      </c>
      <c r="F7" s="9" t="n">
        <v>2167</v>
      </c>
      <c r="G7" s="10" t="n">
        <v>0.9775</v>
      </c>
      <c r="H7" s="9" t="n">
        <v>1324</v>
      </c>
      <c r="I7" s="9" t="n">
        <v>2353</v>
      </c>
      <c r="J7" s="9" t="n">
        <v>2887</v>
      </c>
      <c r="K7" s="10" t="n">
        <v>0.9867</v>
      </c>
      <c r="L7" s="36" t="n">
        <f aca="false">IF(ISNUMBER(C7),F7/C7-1,"—")</f>
        <v>-0.011405109489051</v>
      </c>
      <c r="M7" s="25" t="n">
        <f aca="false">J7/F7-1</f>
        <v>0.332256575911398</v>
      </c>
      <c r="N7" s="22" t="s">
        <v>211</v>
      </c>
      <c r="O7" s="22" t="s">
        <v>217</v>
      </c>
    </row>
    <row r="8" customFormat="false" ht="15" hidden="false" customHeight="false" outlineLevel="0" collapsed="false">
      <c r="A8" s="23" t="s">
        <v>86</v>
      </c>
      <c r="B8" s="11" t="s">
        <v>213</v>
      </c>
      <c r="C8" s="11" t="s">
        <v>214</v>
      </c>
      <c r="D8" s="12" t="n">
        <v>493</v>
      </c>
      <c r="E8" s="12" t="n">
        <v>747</v>
      </c>
      <c r="F8" s="12" t="n">
        <v>884</v>
      </c>
      <c r="G8" s="13" t="n">
        <v>0.9953</v>
      </c>
      <c r="H8" s="12" t="n">
        <v>1440</v>
      </c>
      <c r="I8" s="12" t="n">
        <v>1584</v>
      </c>
      <c r="J8" s="12" t="n">
        <v>1604</v>
      </c>
      <c r="K8" s="13" t="n">
        <v>0.9917</v>
      </c>
      <c r="L8" s="37" t="str">
        <f aca="false">IF(ISNUMBER(C8),F8/C8-1,"—")</f>
        <v>—</v>
      </c>
      <c r="M8" s="28" t="n">
        <f aca="false">J8/F8-1</f>
        <v>0.81447963800905</v>
      </c>
      <c r="N8" s="23" t="s">
        <v>218</v>
      </c>
      <c r="O8" s="24" t="s">
        <v>219</v>
      </c>
    </row>
    <row r="9" customFormat="false" ht="15" hidden="false" customHeight="false" outlineLevel="0" collapsed="false">
      <c r="A9" s="21" t="s">
        <v>88</v>
      </c>
      <c r="B9" s="8" t="s">
        <v>213</v>
      </c>
      <c r="C9" s="9" t="n">
        <v>4312</v>
      </c>
      <c r="D9" s="9" t="n">
        <v>1080</v>
      </c>
      <c r="E9" s="9" t="n">
        <v>1160</v>
      </c>
      <c r="F9" s="9" t="n">
        <v>1210</v>
      </c>
      <c r="G9" s="10" t="n">
        <v>0.9475</v>
      </c>
      <c r="H9" s="9" t="n">
        <v>2177</v>
      </c>
      <c r="I9" s="9" t="n">
        <v>2255</v>
      </c>
      <c r="J9" s="9" t="n">
        <v>2305</v>
      </c>
      <c r="K9" s="10" t="n">
        <v>0.9733</v>
      </c>
      <c r="L9" s="36" t="n">
        <f aca="false">IF(ISNUMBER(C9),F9/C9-1,"—")</f>
        <v>-0.719387755102041</v>
      </c>
      <c r="M9" s="25" t="n">
        <f aca="false">J9/F9-1</f>
        <v>0.90495867768595</v>
      </c>
      <c r="N9" s="22" t="s">
        <v>220</v>
      </c>
      <c r="O9" s="22" t="s">
        <v>221</v>
      </c>
    </row>
    <row r="10" customFormat="false" ht="15" hidden="false" customHeight="false" outlineLevel="0" collapsed="false">
      <c r="A10" s="23" t="s">
        <v>167</v>
      </c>
      <c r="B10" s="12" t="n">
        <v>1250</v>
      </c>
      <c r="C10" s="12" t="n">
        <v>2200</v>
      </c>
      <c r="D10" s="12" t="n">
        <v>792</v>
      </c>
      <c r="E10" s="12" t="n">
        <v>1079</v>
      </c>
      <c r="F10" s="12" t="n">
        <v>1129</v>
      </c>
      <c r="G10" s="13" t="n">
        <v>0.9043</v>
      </c>
      <c r="H10" s="12" t="n">
        <v>1653</v>
      </c>
      <c r="I10" s="12" t="n">
        <v>2134</v>
      </c>
      <c r="J10" s="12" t="n">
        <v>2184</v>
      </c>
      <c r="K10" s="13" t="n">
        <v>0.9168</v>
      </c>
      <c r="L10" s="37" t="n">
        <f aca="false">IF(ISNUMBER(C10),F10/C10-1,"—")</f>
        <v>-0.486818181818182</v>
      </c>
      <c r="M10" s="28" t="n">
        <f aca="false">J10/F10-1</f>
        <v>0.934455270150576</v>
      </c>
      <c r="N10" s="23" t="s">
        <v>222</v>
      </c>
      <c r="O10" s="24" t="s">
        <v>223</v>
      </c>
    </row>
    <row r="12" customFormat="false" ht="15" hidden="false" customHeight="false" outlineLevel="0" collapsed="false">
      <c r="A12" s="2" t="s">
        <v>224</v>
      </c>
    </row>
    <row r="13" customFormat="false" ht="15" hidden="false" customHeight="false" outlineLevel="0" collapsed="false">
      <c r="A13" s="2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56"/>
    <col collapsed="false" customWidth="true" hidden="false" outlineLevel="0" max="7" min="5" style="0" width="9"/>
    <col collapsed="false" customWidth="true" hidden="false" outlineLevel="0" max="8" min="8" style="0" width="10"/>
    <col collapsed="false" customWidth="true" hidden="false" outlineLevel="0" max="11" min="9" style="0" width="13"/>
    <col collapsed="false" customWidth="true" hidden="false" outlineLevel="0" max="12" min="12" style="0" width="12"/>
  </cols>
  <sheetData>
    <row r="1" customFormat="false" ht="19.7" hidden="false" customHeight="false" outlineLevel="0" collapsed="false">
      <c r="A1" s="1" t="s">
        <v>226</v>
      </c>
    </row>
    <row r="2" customFormat="false" ht="15" hidden="false" customHeight="false" outlineLevel="0" collapsed="false">
      <c r="A2" s="2" t="s">
        <v>227</v>
      </c>
    </row>
    <row r="4" customFormat="false" ht="33.75" hidden="false" customHeight="true" outlineLevel="0" collapsed="false">
      <c r="A4" s="6" t="s">
        <v>228</v>
      </c>
      <c r="B4" s="6" t="s">
        <v>229</v>
      </c>
      <c r="C4" s="6" t="s">
        <v>230</v>
      </c>
      <c r="D4" s="6" t="s">
        <v>231</v>
      </c>
      <c r="E4" s="6" t="s">
        <v>78</v>
      </c>
      <c r="F4" s="6" t="s">
        <v>79</v>
      </c>
      <c r="G4" s="6" t="s">
        <v>80</v>
      </c>
      <c r="H4" s="6" t="s">
        <v>81</v>
      </c>
      <c r="I4" s="7" t="s">
        <v>232</v>
      </c>
      <c r="J4" s="7" t="s">
        <v>233</v>
      </c>
      <c r="K4" s="7" t="s">
        <v>234</v>
      </c>
      <c r="L4" s="7" t="s">
        <v>235</v>
      </c>
    </row>
    <row r="5" customFormat="false" ht="15" hidden="false" customHeight="false" outlineLevel="0" collapsed="false">
      <c r="A5" s="21" t="s">
        <v>170</v>
      </c>
      <c r="B5" s="21" t="s">
        <v>236</v>
      </c>
      <c r="C5" s="27" t="n">
        <v>5</v>
      </c>
      <c r="D5" s="22" t="s">
        <v>171</v>
      </c>
      <c r="E5" s="9" t="n">
        <v>330</v>
      </c>
      <c r="F5" s="9" t="n">
        <v>557</v>
      </c>
      <c r="G5" s="9" t="n">
        <v>1318</v>
      </c>
      <c r="H5" s="10" t="n">
        <v>0.9974</v>
      </c>
      <c r="I5" s="38" t="s">
        <v>237</v>
      </c>
      <c r="J5" s="38" t="s">
        <v>237</v>
      </c>
      <c r="K5" s="39" t="s">
        <v>237</v>
      </c>
      <c r="L5" s="25" t="n">
        <f aca="false">G5/$G$5-1</f>
        <v>0</v>
      </c>
    </row>
    <row r="6" customFormat="false" ht="15" hidden="false" customHeight="false" outlineLevel="0" collapsed="false">
      <c r="A6" s="23" t="s">
        <v>172</v>
      </c>
      <c r="B6" s="23" t="s">
        <v>236</v>
      </c>
      <c r="C6" s="30" t="n">
        <v>5</v>
      </c>
      <c r="D6" s="24" t="s">
        <v>159</v>
      </c>
      <c r="E6" s="12" t="n">
        <v>345</v>
      </c>
      <c r="F6" s="12" t="n">
        <v>534</v>
      </c>
      <c r="G6" s="12" t="n">
        <v>1393</v>
      </c>
      <c r="H6" s="13" t="n">
        <v>0.9979</v>
      </c>
      <c r="I6" s="28" t="n">
        <f aca="false">E6/E5-1</f>
        <v>0.0454545454545454</v>
      </c>
      <c r="J6" s="28" t="n">
        <f aca="false">G6/G5-1</f>
        <v>0.0569044006069803</v>
      </c>
      <c r="K6" s="40" t="n">
        <f aca="false">(H6-H5)*100</f>
        <v>0.0500000000000056</v>
      </c>
      <c r="L6" s="28" t="n">
        <f aca="false">G6/$G$5-1</f>
        <v>0.0569044006069803</v>
      </c>
    </row>
    <row r="7" customFormat="false" ht="15" hidden="false" customHeight="false" outlineLevel="0" collapsed="false">
      <c r="A7" s="21" t="s">
        <v>89</v>
      </c>
      <c r="B7" s="21" t="s">
        <v>236</v>
      </c>
      <c r="C7" s="27" t="n">
        <v>5</v>
      </c>
      <c r="D7" s="22" t="s">
        <v>173</v>
      </c>
      <c r="E7" s="9" t="n">
        <v>1730</v>
      </c>
      <c r="F7" s="9" t="n">
        <v>2081</v>
      </c>
      <c r="G7" s="9" t="n">
        <v>2703</v>
      </c>
      <c r="H7" s="10" t="n">
        <v>0.9772</v>
      </c>
      <c r="I7" s="25" t="n">
        <f aca="false">E7/E6-1</f>
        <v>4.01449275362319</v>
      </c>
      <c r="J7" s="25" t="n">
        <f aca="false">G7/G6-1</f>
        <v>0.940416367552046</v>
      </c>
      <c r="K7" s="41" t="n">
        <f aca="false">(H7-H6)*100</f>
        <v>-2.07000000000001</v>
      </c>
      <c r="L7" s="25" t="n">
        <f aca="false">G7/$G$5-1</f>
        <v>1.05083459787557</v>
      </c>
    </row>
    <row r="8" customFormat="false" ht="15" hidden="false" customHeight="false" outlineLevel="0" collapsed="false">
      <c r="A8" s="23" t="s">
        <v>174</v>
      </c>
      <c r="B8" s="23" t="s">
        <v>236</v>
      </c>
      <c r="C8" s="30" t="n">
        <v>15</v>
      </c>
      <c r="D8" s="24" t="s">
        <v>175</v>
      </c>
      <c r="E8" s="12" t="n">
        <v>1513</v>
      </c>
      <c r="F8" s="12" t="n">
        <v>2219</v>
      </c>
      <c r="G8" s="12" t="n">
        <v>2521</v>
      </c>
      <c r="H8" s="13" t="n">
        <v>0.9467</v>
      </c>
      <c r="I8" s="28" t="n">
        <f aca="false">E8/E7-1</f>
        <v>-0.125433526011561</v>
      </c>
      <c r="J8" s="28" t="n">
        <f aca="false">G8/G7-1</f>
        <v>-0.0673325934147244</v>
      </c>
      <c r="K8" s="40" t="n">
        <f aca="false">(H8-H7)*100</f>
        <v>-3.05</v>
      </c>
      <c r="L8" s="28" t="n">
        <f aca="false">G8/$G$5-1</f>
        <v>0.912746585735964</v>
      </c>
    </row>
    <row r="9" customFormat="false" ht="15" hidden="false" customHeight="false" outlineLevel="0" collapsed="false">
      <c r="A9" s="21" t="s">
        <v>176</v>
      </c>
      <c r="B9" s="21" t="s">
        <v>236</v>
      </c>
      <c r="C9" s="27" t="n">
        <v>15</v>
      </c>
      <c r="D9" s="21" t="s">
        <v>177</v>
      </c>
      <c r="E9" s="9" t="n">
        <v>1513</v>
      </c>
      <c r="F9" s="9" t="n">
        <v>2127</v>
      </c>
      <c r="G9" s="9" t="n">
        <v>2416</v>
      </c>
      <c r="H9" s="10" t="n">
        <v>0.9705</v>
      </c>
      <c r="I9" s="25" t="n">
        <f aca="false">E9/E8-1</f>
        <v>0</v>
      </c>
      <c r="J9" s="25" t="n">
        <f aca="false">G9/G8-1</f>
        <v>-0.0416501388337961</v>
      </c>
      <c r="K9" s="41" t="n">
        <f aca="false">(H9-H8)*100</f>
        <v>2.38</v>
      </c>
      <c r="L9" s="25" t="n">
        <f aca="false">G9/$G$5-1</f>
        <v>0.833080424886191</v>
      </c>
    </row>
    <row r="10" customFormat="false" ht="15" hidden="false" customHeight="false" outlineLevel="0" collapsed="false">
      <c r="A10" s="23" t="s">
        <v>178</v>
      </c>
      <c r="B10" s="23" t="s">
        <v>236</v>
      </c>
      <c r="C10" s="30" t="n">
        <v>5</v>
      </c>
      <c r="D10" s="24" t="s">
        <v>179</v>
      </c>
      <c r="E10" s="12" t="n">
        <v>1730</v>
      </c>
      <c r="F10" s="12" t="n">
        <v>2086</v>
      </c>
      <c r="G10" s="12" t="n">
        <v>2156</v>
      </c>
      <c r="H10" s="13" t="n">
        <v>0.9827</v>
      </c>
      <c r="I10" s="28" t="n">
        <f aca="false">E10/E9-1</f>
        <v>0.143423661599471</v>
      </c>
      <c r="J10" s="28" t="n">
        <f aca="false">G10/G9-1</f>
        <v>-0.107615894039735</v>
      </c>
      <c r="K10" s="40" t="n">
        <f aca="false">(H10-H9)*100</f>
        <v>1.22</v>
      </c>
      <c r="L10" s="28" t="n">
        <f aca="false">G10/$G$5-1</f>
        <v>0.635811836115326</v>
      </c>
    </row>
    <row r="11" customFormat="false" ht="15" hidden="false" customHeight="false" outlineLevel="0" collapsed="false">
      <c r="A11" s="21" t="s">
        <v>180</v>
      </c>
      <c r="B11" s="21" t="s">
        <v>236</v>
      </c>
      <c r="C11" s="27" t="n">
        <v>10</v>
      </c>
      <c r="D11" s="22" t="s">
        <v>181</v>
      </c>
      <c r="E11" s="9" t="n">
        <v>1621</v>
      </c>
      <c r="F11" s="9" t="n">
        <v>2141</v>
      </c>
      <c r="G11" s="9" t="n">
        <v>2291</v>
      </c>
      <c r="H11" s="10" t="n">
        <v>0.9794</v>
      </c>
      <c r="I11" s="25" t="n">
        <f aca="false">E11/E10-1</f>
        <v>-0.0630057803468208</v>
      </c>
      <c r="J11" s="25" t="n">
        <f aca="false">G11/G10-1</f>
        <v>0.0626159554730983</v>
      </c>
      <c r="K11" s="41" t="n">
        <f aca="false">(H11-H10)*100</f>
        <v>-0.329999999999997</v>
      </c>
      <c r="L11" s="25" t="n">
        <f aca="false">G11/$G$5-1</f>
        <v>0.738239757207891</v>
      </c>
    </row>
    <row r="12" customFormat="false" ht="15" hidden="false" customHeight="false" outlineLevel="0" collapsed="false">
      <c r="A12" s="23" t="s">
        <v>182</v>
      </c>
      <c r="B12" s="23" t="s">
        <v>236</v>
      </c>
      <c r="C12" s="30" t="n">
        <v>5</v>
      </c>
      <c r="D12" s="23" t="s">
        <v>183</v>
      </c>
      <c r="E12" s="12" t="n">
        <v>1551</v>
      </c>
      <c r="F12" s="12" t="n">
        <v>1981</v>
      </c>
      <c r="G12" s="12" t="n">
        <v>2106</v>
      </c>
      <c r="H12" s="13" t="n">
        <v>0.97494</v>
      </c>
      <c r="I12" s="28" t="n">
        <f aca="false">E12/E11-1</f>
        <v>-0.0431832202344232</v>
      </c>
      <c r="J12" s="28" t="n">
        <f aca="false">G12/G11-1</f>
        <v>-0.0807507638585771</v>
      </c>
      <c r="K12" s="40" t="n">
        <f aca="false">(H12-H11)*100</f>
        <v>-0.446000000000002</v>
      </c>
      <c r="L12" s="28" t="n">
        <f aca="false">G12/$G$5-1</f>
        <v>0.597875569044006</v>
      </c>
    </row>
    <row r="13" customFormat="false" ht="15" hidden="false" customHeight="false" outlineLevel="0" collapsed="false">
      <c r="A13" s="21" t="s">
        <v>91</v>
      </c>
      <c r="B13" s="21" t="s">
        <v>236</v>
      </c>
      <c r="C13" s="27" t="n">
        <v>5</v>
      </c>
      <c r="D13" s="22" t="s">
        <v>184</v>
      </c>
      <c r="E13" s="9" t="n">
        <v>1551</v>
      </c>
      <c r="F13" s="9" t="n">
        <v>1976</v>
      </c>
      <c r="G13" s="9" t="n">
        <v>2066</v>
      </c>
      <c r="H13" s="10" t="n">
        <v>0.98432</v>
      </c>
      <c r="I13" s="25" t="n">
        <f aca="false">E13/E12-1</f>
        <v>0</v>
      </c>
      <c r="J13" s="25" t="n">
        <f aca="false">G13/G12-1</f>
        <v>-0.0189933523266856</v>
      </c>
      <c r="K13" s="41" t="n">
        <f aca="false">(H13-H12)*100</f>
        <v>0.937999999999994</v>
      </c>
      <c r="L13" s="25" t="n">
        <f aca="false">G13/$G$5-1</f>
        <v>0.56752655538695</v>
      </c>
    </row>
    <row r="14" customFormat="false" ht="15" hidden="false" customHeight="false" outlineLevel="0" collapsed="false">
      <c r="A14" s="23" t="s">
        <v>238</v>
      </c>
      <c r="B14" s="23" t="s">
        <v>239</v>
      </c>
      <c r="C14" s="30" t="n">
        <v>5</v>
      </c>
      <c r="D14" s="23" t="s">
        <v>183</v>
      </c>
      <c r="E14" s="12" t="n">
        <v>1266</v>
      </c>
      <c r="F14" s="12" t="n">
        <v>1910</v>
      </c>
      <c r="G14" s="12" t="n">
        <v>2031</v>
      </c>
      <c r="H14" s="13" t="n">
        <v>0.97075</v>
      </c>
      <c r="I14" s="28" t="n">
        <f aca="false">E14/E13-1</f>
        <v>-0.183752417794971</v>
      </c>
      <c r="J14" s="28" t="n">
        <f aca="false">G14/G13-1</f>
        <v>-0.0169409486931268</v>
      </c>
      <c r="K14" s="40" t="n">
        <f aca="false">(H14-H13)*100</f>
        <v>-1.357</v>
      </c>
      <c r="L14" s="28" t="n">
        <f aca="false">G14/$G$5-1</f>
        <v>0.540971168437026</v>
      </c>
    </row>
    <row r="15" customFormat="false" ht="15" hidden="false" customHeight="false" outlineLevel="0" collapsed="false">
      <c r="A15" s="21" t="s">
        <v>240</v>
      </c>
      <c r="B15" s="21" t="s">
        <v>239</v>
      </c>
      <c r="C15" s="27" t="n">
        <v>5</v>
      </c>
      <c r="D15" s="22" t="s">
        <v>184</v>
      </c>
      <c r="E15" s="9" t="n">
        <v>1266</v>
      </c>
      <c r="F15" s="9" t="n">
        <v>1891</v>
      </c>
      <c r="G15" s="9" t="n">
        <v>1976</v>
      </c>
      <c r="H15" s="10" t="n">
        <v>0.98135</v>
      </c>
      <c r="I15" s="25" t="n">
        <f aca="false">E15/E14-1</f>
        <v>0</v>
      </c>
      <c r="J15" s="25" t="n">
        <f aca="false">G15/G14-1</f>
        <v>-0.0270802560315115</v>
      </c>
      <c r="K15" s="41" t="n">
        <f aca="false">(H15-H14)*100</f>
        <v>1.05999999999999</v>
      </c>
      <c r="L15" s="25" t="n">
        <f aca="false">G15/$G$5-1</f>
        <v>0.499241274658574</v>
      </c>
    </row>
    <row r="16" customFormat="false" ht="15" hidden="false" customHeight="false" outlineLevel="0" collapsed="false">
      <c r="A16" s="23" t="s">
        <v>92</v>
      </c>
      <c r="B16" s="23" t="s">
        <v>236</v>
      </c>
      <c r="C16" s="30" t="n">
        <v>5</v>
      </c>
      <c r="D16" s="24" t="s">
        <v>185</v>
      </c>
      <c r="E16" s="12" t="n">
        <v>1491</v>
      </c>
      <c r="F16" s="12" t="n">
        <v>1991</v>
      </c>
      <c r="G16" s="12" t="n">
        <v>2086</v>
      </c>
      <c r="H16" s="13" t="n">
        <v>0.9849</v>
      </c>
      <c r="I16" s="28" t="n">
        <f aca="false">E16/E15-1</f>
        <v>0.177725118483412</v>
      </c>
      <c r="J16" s="28" t="n">
        <f aca="false">G16/G15-1</f>
        <v>0.0556680161943319</v>
      </c>
      <c r="K16" s="40" t="n">
        <f aca="false">(H16-H15)*100</f>
        <v>0.355000000000005</v>
      </c>
      <c r="L16" s="28" t="n">
        <f aca="false">G16/$G$5-1</f>
        <v>0.582701062215478</v>
      </c>
    </row>
    <row r="17" customFormat="false" ht="15" hidden="false" customHeight="false" outlineLevel="0" collapsed="false">
      <c r="A17" s="21" t="s">
        <v>186</v>
      </c>
      <c r="B17" s="21" t="s">
        <v>236</v>
      </c>
      <c r="C17" s="27" t="n">
        <v>10</v>
      </c>
      <c r="D17" s="21" t="s">
        <v>187</v>
      </c>
      <c r="E17" s="9" t="n">
        <v>1381</v>
      </c>
      <c r="F17" s="9" t="n">
        <v>2071</v>
      </c>
      <c r="G17" s="9" t="n">
        <v>2241</v>
      </c>
      <c r="H17" s="10" t="n">
        <v>0.97878</v>
      </c>
      <c r="I17" s="25" t="n">
        <f aca="false">E17/E16-1</f>
        <v>-0.073775989268947</v>
      </c>
      <c r="J17" s="25" t="n">
        <f aca="false">G17/G16-1</f>
        <v>0.0743048897411314</v>
      </c>
      <c r="K17" s="41" t="n">
        <f aca="false">(H17-H16)*100</f>
        <v>-0.612000000000001</v>
      </c>
      <c r="L17" s="25" t="n">
        <f aca="false">G17/$G$5-1</f>
        <v>0.700303490136571</v>
      </c>
    </row>
    <row r="18" customFormat="false" ht="15" hidden="false" customHeight="false" outlineLevel="0" collapsed="false">
      <c r="A18" s="23" t="s">
        <v>188</v>
      </c>
      <c r="B18" s="23" t="s">
        <v>236</v>
      </c>
      <c r="C18" s="30" t="n">
        <v>5</v>
      </c>
      <c r="D18" s="24" t="s">
        <v>189</v>
      </c>
      <c r="E18" s="12" t="n">
        <v>1730</v>
      </c>
      <c r="F18" s="12" t="n">
        <v>2091</v>
      </c>
      <c r="G18" s="12" t="n">
        <v>3203</v>
      </c>
      <c r="H18" s="13" t="n">
        <v>0.973087</v>
      </c>
      <c r="I18" s="28" t="n">
        <f aca="false">E18/E17-1</f>
        <v>0.252715423606082</v>
      </c>
      <c r="J18" s="28" t="n">
        <f aca="false">G18/G17-1</f>
        <v>0.429272646140116</v>
      </c>
      <c r="K18" s="40" t="n">
        <f aca="false">(H18-H17)*100</f>
        <v>-0.569299999999995</v>
      </c>
      <c r="L18" s="28" t="n">
        <f aca="false">G18/$G$5-1</f>
        <v>1.43019726858877</v>
      </c>
    </row>
    <row r="19" customFormat="false" ht="15" hidden="false" customHeight="false" outlineLevel="0" collapsed="false">
      <c r="A19" s="31" t="s">
        <v>190</v>
      </c>
      <c r="B19" s="31" t="s">
        <v>236</v>
      </c>
      <c r="C19" s="35" t="n">
        <v>5</v>
      </c>
      <c r="D19" s="32" t="s">
        <v>191</v>
      </c>
      <c r="E19" s="15" t="n">
        <v>2621</v>
      </c>
      <c r="F19" s="15" t="n">
        <v>2711</v>
      </c>
      <c r="G19" s="15" t="n">
        <v>2761</v>
      </c>
      <c r="H19" s="16" t="n">
        <v>0.992224</v>
      </c>
      <c r="I19" s="33" t="n">
        <f aca="false">E19/E18-1</f>
        <v>0.515028901734104</v>
      </c>
      <c r="J19" s="33" t="n">
        <f aca="false">G19/G18-1</f>
        <v>-0.137995629097721</v>
      </c>
      <c r="K19" s="42" t="n">
        <f aca="false">(H19-H18)*100</f>
        <v>1.9137</v>
      </c>
      <c r="L19" s="33" t="n">
        <f aca="false">G19/$G$5-1</f>
        <v>1.0948406676783</v>
      </c>
    </row>
    <row r="20" customFormat="false" ht="15" hidden="false" customHeight="false" outlineLevel="0" collapsed="false">
      <c r="A20" s="31" t="s">
        <v>241</v>
      </c>
      <c r="B20" s="31" t="s">
        <v>239</v>
      </c>
      <c r="C20" s="35" t="n">
        <v>5</v>
      </c>
      <c r="D20" s="32" t="s">
        <v>242</v>
      </c>
      <c r="E20" s="15" t="n">
        <v>1471</v>
      </c>
      <c r="F20" s="15" t="n">
        <v>1646</v>
      </c>
      <c r="G20" s="15" t="n">
        <v>1716</v>
      </c>
      <c r="H20" s="16" t="n">
        <v>0.986599</v>
      </c>
      <c r="I20" s="33" t="n">
        <f aca="false">E20/E19-1</f>
        <v>-0.438763830599008</v>
      </c>
      <c r="J20" s="33" t="n">
        <f aca="false">G20/G19-1</f>
        <v>-0.378486055776892</v>
      </c>
      <c r="K20" s="42" t="n">
        <f aca="false">(H20-H19)*100</f>
        <v>-0.562499999999999</v>
      </c>
      <c r="L20" s="33" t="n">
        <f aca="false">G20/$G$5-1</f>
        <v>0.301972685887709</v>
      </c>
    </row>
    <row r="21" customFormat="false" ht="15" hidden="false" customHeight="false" outlineLevel="0" collapsed="false">
      <c r="A21" s="31" t="s">
        <v>93</v>
      </c>
      <c r="B21" s="31" t="s">
        <v>236</v>
      </c>
      <c r="C21" s="35" t="n">
        <v>5</v>
      </c>
      <c r="D21" s="32" t="s">
        <v>192</v>
      </c>
      <c r="E21" s="15" t="n">
        <v>2621</v>
      </c>
      <c r="F21" s="15" t="n">
        <v>2711</v>
      </c>
      <c r="G21" s="15" t="n">
        <v>2756</v>
      </c>
      <c r="H21" s="16" t="n">
        <v>0.992668</v>
      </c>
      <c r="I21" s="33" t="n">
        <f aca="false">E21/E20-1</f>
        <v>0.781781101291638</v>
      </c>
      <c r="J21" s="33" t="n">
        <f aca="false">G21/G20-1</f>
        <v>0.606060606060606</v>
      </c>
      <c r="K21" s="42" t="n">
        <f aca="false">(H21-H20)*100</f>
        <v>0.606899999999999</v>
      </c>
      <c r="L21" s="33" t="n">
        <f aca="false">G21/$G$5-1</f>
        <v>1.09104704097117</v>
      </c>
    </row>
    <row r="22" customFormat="false" ht="15" hidden="false" customHeight="false" outlineLevel="0" collapsed="false">
      <c r="A22" s="31" t="s">
        <v>243</v>
      </c>
      <c r="B22" s="31" t="s">
        <v>239</v>
      </c>
      <c r="C22" s="35" t="n">
        <v>5</v>
      </c>
      <c r="D22" s="32" t="s">
        <v>244</v>
      </c>
      <c r="E22" s="15" t="n">
        <v>1716</v>
      </c>
      <c r="F22" s="15" t="n">
        <v>1886</v>
      </c>
      <c r="G22" s="15" t="n">
        <v>1956</v>
      </c>
      <c r="H22" s="16" t="n">
        <v>0.990719</v>
      </c>
      <c r="I22" s="33" t="n">
        <f aca="false">E22/E21-1</f>
        <v>-0.345288057993132</v>
      </c>
      <c r="J22" s="33" t="n">
        <f aca="false">G22/G21-1</f>
        <v>-0.290275761973875</v>
      </c>
      <c r="K22" s="42" t="n">
        <f aca="false">(H22-H21)*100</f>
        <v>-0.194899999999998</v>
      </c>
      <c r="L22" s="33" t="n">
        <f aca="false">G22/$G$5-1</f>
        <v>0.484066767830045</v>
      </c>
    </row>
    <row r="24" customFormat="false" ht="15" hidden="false" customHeight="false" outlineLevel="0" collapsed="false">
      <c r="A24" s="2" t="s">
        <v>245</v>
      </c>
    </row>
    <row r="26" customFormat="false" ht="15" hidden="false" customHeight="false" outlineLevel="0" collapsed="false">
      <c r="A26" s="43" t="s">
        <v>246</v>
      </c>
    </row>
    <row r="27" customFormat="false" ht="15" hidden="false" customHeight="false" outlineLevel="0" collapsed="false">
      <c r="A27" s="44" t="s">
        <v>228</v>
      </c>
      <c r="B27" s="44" t="s">
        <v>78</v>
      </c>
      <c r="C27" s="44" t="s">
        <v>79</v>
      </c>
      <c r="D27" s="44" t="s">
        <v>80</v>
      </c>
      <c r="E27" s="44" t="s">
        <v>81</v>
      </c>
    </row>
    <row r="28" customFormat="false" ht="15" hidden="false" customHeight="false" outlineLevel="0" collapsed="false">
      <c r="A28" s="45" t="str">
        <f aca="false">A5</f>
        <v>v1</v>
      </c>
      <c r="B28" s="46" t="n">
        <f aca="false">E5</f>
        <v>330</v>
      </c>
      <c r="C28" s="46" t="n">
        <f aca="false">F5</f>
        <v>557</v>
      </c>
      <c r="D28" s="46" t="n">
        <f aca="false">G5</f>
        <v>1318</v>
      </c>
      <c r="E28" s="47" t="n">
        <f aca="false">H5</f>
        <v>0.9974</v>
      </c>
    </row>
    <row r="29" customFormat="false" ht="15" hidden="false" customHeight="false" outlineLevel="0" collapsed="false">
      <c r="A29" s="45" t="str">
        <f aca="false">A6</f>
        <v>v2</v>
      </c>
      <c r="B29" s="46" t="n">
        <f aca="false">E6</f>
        <v>345</v>
      </c>
      <c r="C29" s="46" t="n">
        <f aca="false">F6</f>
        <v>534</v>
      </c>
      <c r="D29" s="46" t="n">
        <f aca="false">G6</f>
        <v>1393</v>
      </c>
      <c r="E29" s="47" t="n">
        <f aca="false">H6</f>
        <v>0.9979</v>
      </c>
    </row>
    <row r="30" customFormat="false" ht="15" hidden="false" customHeight="false" outlineLevel="0" collapsed="false">
      <c r="A30" s="45" t="str">
        <f aca="false">A7</f>
        <v>v3</v>
      </c>
      <c r="B30" s="46" t="n">
        <f aca="false">E7</f>
        <v>1730</v>
      </c>
      <c r="C30" s="46" t="n">
        <f aca="false">F7</f>
        <v>2081</v>
      </c>
      <c r="D30" s="46" t="n">
        <f aca="false">G7</f>
        <v>2703</v>
      </c>
      <c r="E30" s="47" t="n">
        <f aca="false">H7</f>
        <v>0.9772</v>
      </c>
    </row>
    <row r="31" customFormat="false" ht="15" hidden="false" customHeight="false" outlineLevel="0" collapsed="false">
      <c r="A31" s="45" t="str">
        <f aca="false">A8</f>
        <v>v4</v>
      </c>
      <c r="B31" s="46" t="n">
        <f aca="false">E8</f>
        <v>1513</v>
      </c>
      <c r="C31" s="46" t="n">
        <f aca="false">F8</f>
        <v>2219</v>
      </c>
      <c r="D31" s="46" t="n">
        <f aca="false">G8</f>
        <v>2521</v>
      </c>
      <c r="E31" s="47" t="n">
        <f aca="false">H8</f>
        <v>0.9467</v>
      </c>
    </row>
    <row r="32" customFormat="false" ht="15" hidden="false" customHeight="false" outlineLevel="0" collapsed="false">
      <c r="A32" s="45" t="str">
        <f aca="false">A9</f>
        <v>v5</v>
      </c>
      <c r="B32" s="46" t="n">
        <f aca="false">E9</f>
        <v>1513</v>
      </c>
      <c r="C32" s="46" t="n">
        <f aca="false">F9</f>
        <v>2127</v>
      </c>
      <c r="D32" s="46" t="n">
        <f aca="false">G9</f>
        <v>2416</v>
      </c>
      <c r="E32" s="47" t="n">
        <f aca="false">H9</f>
        <v>0.9705</v>
      </c>
    </row>
    <row r="33" customFormat="false" ht="15" hidden="false" customHeight="false" outlineLevel="0" collapsed="false">
      <c r="A33" s="45" t="str">
        <f aca="false">A10</f>
        <v>v5-exp (Int 5)</v>
      </c>
      <c r="B33" s="46" t="n">
        <f aca="false">E10</f>
        <v>1730</v>
      </c>
      <c r="C33" s="46" t="n">
        <f aca="false">F10</f>
        <v>2086</v>
      </c>
      <c r="D33" s="46" t="n">
        <f aca="false">G10</f>
        <v>2156</v>
      </c>
      <c r="E33" s="47" t="n">
        <f aca="false">H10</f>
        <v>0.9827</v>
      </c>
    </row>
    <row r="34" customFormat="false" ht="15" hidden="false" customHeight="false" outlineLevel="0" collapsed="false">
      <c r="A34" s="45" t="str">
        <f aca="false">A11</f>
        <v>v5-exp (Int 10)</v>
      </c>
      <c r="B34" s="46" t="n">
        <f aca="false">E11</f>
        <v>1621</v>
      </c>
      <c r="C34" s="46" t="n">
        <f aca="false">F11</f>
        <v>2141</v>
      </c>
      <c r="D34" s="46" t="n">
        <f aca="false">G11</f>
        <v>2291</v>
      </c>
      <c r="E34" s="47" t="n">
        <f aca="false">H11</f>
        <v>0.9794</v>
      </c>
    </row>
    <row r="35" customFormat="false" ht="15" hidden="false" customHeight="false" outlineLevel="0" collapsed="false">
      <c r="A35" s="45" t="str">
        <f aca="false">A12</f>
        <v>v6 (Center)</v>
      </c>
      <c r="B35" s="46" t="n">
        <f aca="false">E12</f>
        <v>1551</v>
      </c>
      <c r="C35" s="46" t="n">
        <f aca="false">F12</f>
        <v>1981</v>
      </c>
      <c r="D35" s="46" t="n">
        <f aca="false">G12</f>
        <v>2106</v>
      </c>
      <c r="E35" s="47" t="n">
        <f aca="false">H12</f>
        <v>0.97494</v>
      </c>
    </row>
    <row r="36" customFormat="false" ht="15" hidden="false" customHeight="false" outlineLevel="0" collapsed="false">
      <c r="A36" s="45" t="str">
        <f aca="false">A13</f>
        <v>v7 (Center)</v>
      </c>
      <c r="B36" s="46" t="n">
        <f aca="false">E13</f>
        <v>1551</v>
      </c>
      <c r="C36" s="46" t="n">
        <f aca="false">F13</f>
        <v>1976</v>
      </c>
      <c r="D36" s="46" t="n">
        <f aca="false">G13</f>
        <v>2066</v>
      </c>
      <c r="E36" s="47" t="n">
        <f aca="false">H13</f>
        <v>0.98432</v>
      </c>
    </row>
    <row r="37" customFormat="false" ht="15" hidden="false" customHeight="false" outlineLevel="0" collapsed="false">
      <c r="A37" s="45" t="str">
        <f aca="false">A16</f>
        <v>v7.1 Multihop (Int 5)</v>
      </c>
      <c r="B37" s="46" t="n">
        <f aca="false">E16</f>
        <v>1491</v>
      </c>
      <c r="C37" s="46" t="n">
        <f aca="false">F16</f>
        <v>1991</v>
      </c>
      <c r="D37" s="46" t="n">
        <f aca="false">G16</f>
        <v>2086</v>
      </c>
      <c r="E37" s="47" t="n">
        <f aca="false">H16</f>
        <v>0.9849</v>
      </c>
    </row>
    <row r="38" customFormat="false" ht="15" hidden="false" customHeight="false" outlineLevel="0" collapsed="false">
      <c r="A38" s="45" t="str">
        <f aca="false">A17</f>
        <v>v7.2 Multihop (Int 10)</v>
      </c>
      <c r="B38" s="46" t="n">
        <f aca="false">E17</f>
        <v>1381</v>
      </c>
      <c r="C38" s="46" t="n">
        <f aca="false">F17</f>
        <v>2071</v>
      </c>
      <c r="D38" s="46" t="n">
        <f aca="false">G17</f>
        <v>2241</v>
      </c>
      <c r="E38" s="47" t="n">
        <f aca="false">H17</f>
        <v>0.97878</v>
      </c>
    </row>
    <row r="39" customFormat="false" ht="15" hidden="false" customHeight="false" outlineLevel="0" collapsed="false">
      <c r="A39" s="45" t="str">
        <f aca="false">A18</f>
        <v>v5b (Energy-Aware)</v>
      </c>
      <c r="B39" s="46" t="n">
        <f aca="false">E18</f>
        <v>1730</v>
      </c>
      <c r="C39" s="46" t="n">
        <f aca="false">F18</f>
        <v>2091</v>
      </c>
      <c r="D39" s="46" t="n">
        <f aca="false">G18</f>
        <v>3203</v>
      </c>
      <c r="E39" s="47" t="n">
        <f aca="false">H18</f>
        <v>0.973087</v>
      </c>
    </row>
    <row r="40" customFormat="false" ht="15" hidden="false" customHeight="false" outlineLevel="0" collapsed="false">
      <c r="A40" s="45" t="str">
        <f aca="false">A19</f>
        <v>v8 (Center)</v>
      </c>
      <c r="B40" s="46" t="n">
        <f aca="false">E19</f>
        <v>2621</v>
      </c>
      <c r="C40" s="46" t="n">
        <f aca="false">F19</f>
        <v>2711</v>
      </c>
      <c r="D40" s="46" t="n">
        <f aca="false">G19</f>
        <v>2761</v>
      </c>
      <c r="E40" s="47" t="n">
        <f aca="false">H19</f>
        <v>0.992224</v>
      </c>
    </row>
    <row r="41" customFormat="false" ht="15" hidden="false" customHeight="false" outlineLevel="0" collapsed="false">
      <c r="A41" s="45" t="str">
        <f aca="false">A21</f>
        <v>v8-Chain (Center)</v>
      </c>
      <c r="B41" s="46" t="n">
        <f aca="false">E21</f>
        <v>2621</v>
      </c>
      <c r="C41" s="46" t="n">
        <f aca="false">F21</f>
        <v>2711</v>
      </c>
      <c r="D41" s="46" t="n">
        <f aca="false">G21</f>
        <v>2756</v>
      </c>
      <c r="E41" s="47" t="n">
        <f aca="false">H21</f>
        <v>0.992668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1" min="2" style="0" width="10"/>
    <col collapsed="false" customWidth="true" hidden="false" outlineLevel="0" max="12" min="12" style="0" width="11"/>
  </cols>
  <sheetData>
    <row r="1" customFormat="false" ht="18.65" hidden="false" customHeight="false" outlineLevel="0" collapsed="false">
      <c r="A1" s="1" t="s">
        <v>247</v>
      </c>
    </row>
    <row r="2" customFormat="false" ht="15" hidden="false" customHeight="false" outlineLevel="0" collapsed="false">
      <c r="A2" s="2" t="s">
        <v>248</v>
      </c>
    </row>
    <row r="4" customFormat="false" ht="33.75" hidden="false" customHeight="true" outlineLevel="0" collapsed="false">
      <c r="A4" s="6" t="s">
        <v>76</v>
      </c>
      <c r="B4" s="6" t="s">
        <v>249</v>
      </c>
      <c r="C4" s="6" t="s">
        <v>250</v>
      </c>
      <c r="D4" s="6" t="s">
        <v>251</v>
      </c>
      <c r="E4" s="6" t="s">
        <v>252</v>
      </c>
      <c r="F4" s="6" t="s">
        <v>253</v>
      </c>
      <c r="G4" s="6" t="s">
        <v>254</v>
      </c>
      <c r="H4" s="6" t="s">
        <v>255</v>
      </c>
      <c r="I4" s="6" t="s">
        <v>256</v>
      </c>
      <c r="J4" s="7" t="s">
        <v>257</v>
      </c>
      <c r="K4" s="7" t="s">
        <v>258</v>
      </c>
      <c r="L4" s="7" t="s">
        <v>259</v>
      </c>
    </row>
    <row r="5" customFormat="false" ht="15" hidden="false" customHeight="false" outlineLevel="0" collapsed="false">
      <c r="A5" s="21" t="s">
        <v>188</v>
      </c>
      <c r="B5" s="9" t="n">
        <v>1730</v>
      </c>
      <c r="C5" s="9" t="n">
        <v>2091</v>
      </c>
      <c r="D5" s="9" t="n">
        <v>3203</v>
      </c>
      <c r="E5" s="10" t="n">
        <v>0.973087</v>
      </c>
      <c r="F5" s="9" t="n">
        <v>1055</v>
      </c>
      <c r="G5" s="9" t="n">
        <v>1616</v>
      </c>
      <c r="H5" s="9" t="n">
        <v>1861</v>
      </c>
      <c r="I5" s="10" t="n">
        <v>0.982785</v>
      </c>
      <c r="J5" s="25" t="n">
        <f aca="false">F5/B5-1</f>
        <v>-0.390173410404624</v>
      </c>
      <c r="K5" s="25" t="n">
        <f aca="false">H5/D5-1</f>
        <v>-0.418982204183578</v>
      </c>
      <c r="L5" s="41" t="n">
        <f aca="false">(I5-E5)*100</f>
        <v>0.969799999999998</v>
      </c>
    </row>
    <row r="6" customFormat="false" ht="15" hidden="false" customHeight="false" outlineLevel="0" collapsed="false">
      <c r="A6" s="23" t="s">
        <v>260</v>
      </c>
      <c r="B6" s="12" t="n">
        <v>1551</v>
      </c>
      <c r="C6" s="12" t="n">
        <v>1981</v>
      </c>
      <c r="D6" s="12" t="n">
        <v>2106</v>
      </c>
      <c r="E6" s="13" t="n">
        <v>0.97494</v>
      </c>
      <c r="F6" s="12" t="n">
        <v>1266</v>
      </c>
      <c r="G6" s="12" t="n">
        <v>1910</v>
      </c>
      <c r="H6" s="12" t="n">
        <v>2031</v>
      </c>
      <c r="I6" s="13" t="n">
        <v>0.97075</v>
      </c>
      <c r="J6" s="28" t="n">
        <f aca="false">F6/B6-1</f>
        <v>-0.183752417794971</v>
      </c>
      <c r="K6" s="28" t="n">
        <f aca="false">H6/D6-1</f>
        <v>-0.0356125356125356</v>
      </c>
      <c r="L6" s="40" t="n">
        <f aca="false">(I6-E6)*100</f>
        <v>-0.419000000000003</v>
      </c>
    </row>
    <row r="7" customFormat="false" ht="15" hidden="false" customHeight="false" outlineLevel="0" collapsed="false">
      <c r="A7" s="22" t="s">
        <v>261</v>
      </c>
      <c r="B7" s="9" t="n">
        <v>1551</v>
      </c>
      <c r="C7" s="9" t="n">
        <v>1976</v>
      </c>
      <c r="D7" s="9" t="n">
        <v>2066</v>
      </c>
      <c r="E7" s="10" t="n">
        <v>0.98432</v>
      </c>
      <c r="F7" s="9" t="n">
        <v>1266</v>
      </c>
      <c r="G7" s="9" t="n">
        <v>1891</v>
      </c>
      <c r="H7" s="9" t="n">
        <v>1976</v>
      </c>
      <c r="I7" s="10" t="n">
        <v>0.98135</v>
      </c>
      <c r="J7" s="25" t="n">
        <f aca="false">F7/B7-1</f>
        <v>-0.183752417794971</v>
      </c>
      <c r="K7" s="25" t="n">
        <f aca="false">H7/D7-1</f>
        <v>-0.0435624394966118</v>
      </c>
      <c r="L7" s="41" t="n">
        <f aca="false">(I7-E7)*100</f>
        <v>-0.297000000000003</v>
      </c>
    </row>
    <row r="8" customFormat="false" ht="15" hidden="false" customHeight="false" outlineLevel="0" collapsed="false">
      <c r="A8" s="23" t="s">
        <v>262</v>
      </c>
      <c r="B8" s="12" t="n">
        <v>2621</v>
      </c>
      <c r="C8" s="12" t="n">
        <v>2711</v>
      </c>
      <c r="D8" s="12" t="n">
        <v>2761</v>
      </c>
      <c r="E8" s="13" t="n">
        <v>0.992224</v>
      </c>
      <c r="F8" s="12" t="n">
        <v>1471</v>
      </c>
      <c r="G8" s="12" t="n">
        <v>1646</v>
      </c>
      <c r="H8" s="12" t="n">
        <v>1716</v>
      </c>
      <c r="I8" s="13" t="n">
        <v>0.986599</v>
      </c>
      <c r="J8" s="28" t="n">
        <f aca="false">F8/B8-1</f>
        <v>-0.438763830599008</v>
      </c>
      <c r="K8" s="28" t="n">
        <f aca="false">H8/D8-1</f>
        <v>-0.378486055776892</v>
      </c>
      <c r="L8" s="40" t="n">
        <f aca="false">(I8-E8)*100</f>
        <v>-0.562499999999999</v>
      </c>
    </row>
    <row r="9" customFormat="false" ht="15" hidden="false" customHeight="false" outlineLevel="0" collapsed="false">
      <c r="A9" s="31" t="s">
        <v>263</v>
      </c>
      <c r="B9" s="15" t="n">
        <v>2621</v>
      </c>
      <c r="C9" s="15" t="n">
        <v>2711</v>
      </c>
      <c r="D9" s="15" t="n">
        <v>2756</v>
      </c>
      <c r="E9" s="16" t="n">
        <v>0.992668</v>
      </c>
      <c r="F9" s="15" t="n">
        <v>1716</v>
      </c>
      <c r="G9" s="15" t="n">
        <v>1886</v>
      </c>
      <c r="H9" s="15" t="n">
        <v>1956</v>
      </c>
      <c r="I9" s="16" t="n">
        <v>0.990719</v>
      </c>
      <c r="J9" s="33" t="n">
        <f aca="false">F9/B9-1</f>
        <v>-0.345288057993132</v>
      </c>
      <c r="K9" s="33" t="n">
        <f aca="false">H9/D9-1</f>
        <v>-0.290275761973875</v>
      </c>
      <c r="L9" s="42" t="n">
        <f aca="false">(I9-E9)*100</f>
        <v>-0.194899999999998</v>
      </c>
    </row>
    <row r="11" customFormat="false" ht="15" hidden="false" customHeight="false" outlineLevel="0" collapsed="false">
      <c r="A11" s="2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6" min="3" style="0" width="1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0"/>
  </cols>
  <sheetData>
    <row r="1" customFormat="false" ht="18.65" hidden="false" customHeight="false" outlineLevel="0" collapsed="false">
      <c r="A1" s="1" t="s">
        <v>265</v>
      </c>
    </row>
    <row r="2" customFormat="false" ht="15" hidden="false" customHeight="false" outlineLevel="0" collapsed="false">
      <c r="A2" s="2" t="s">
        <v>266</v>
      </c>
    </row>
    <row r="4" customFormat="false" ht="15" hidden="false" customHeight="false" outlineLevel="0" collapsed="false">
      <c r="A4" s="3" t="s">
        <v>267</v>
      </c>
    </row>
    <row r="5" customFormat="false" ht="33.75" hidden="false" customHeight="true" outlineLevel="0" collapsed="false">
      <c r="A5" s="6" t="s">
        <v>228</v>
      </c>
      <c r="B5" s="6" t="s">
        <v>268</v>
      </c>
      <c r="C5" s="6" t="s">
        <v>78</v>
      </c>
      <c r="D5" s="6" t="s">
        <v>79</v>
      </c>
      <c r="E5" s="6" t="s">
        <v>80</v>
      </c>
      <c r="F5" s="6" t="s">
        <v>81</v>
      </c>
      <c r="G5" s="6" t="s">
        <v>269</v>
      </c>
      <c r="H5" s="7" t="s">
        <v>270</v>
      </c>
      <c r="I5" s="7" t="s">
        <v>271</v>
      </c>
    </row>
    <row r="6" customFormat="false" ht="15" hidden="false" customHeight="false" outlineLevel="0" collapsed="false">
      <c r="A6" s="31" t="s">
        <v>272</v>
      </c>
      <c r="B6" s="31" t="s">
        <v>237</v>
      </c>
      <c r="C6" s="15" t="n">
        <v>2621</v>
      </c>
      <c r="D6" s="15" t="n">
        <v>2711</v>
      </c>
      <c r="E6" s="15" t="n">
        <v>2761</v>
      </c>
      <c r="F6" s="16" t="n">
        <v>0.992224</v>
      </c>
      <c r="G6" s="15" t="n">
        <v>268610</v>
      </c>
      <c r="H6" s="33" t="n">
        <f aca="false">C6/$C$6-1</f>
        <v>0</v>
      </c>
      <c r="I6" s="33" t="n">
        <f aca="false">G6/$G$6-1</f>
        <v>0</v>
      </c>
    </row>
    <row r="7" customFormat="false" ht="15" hidden="false" customHeight="false" outlineLevel="0" collapsed="false">
      <c r="A7" s="23" t="s">
        <v>273</v>
      </c>
      <c r="B7" s="23" t="s">
        <v>274</v>
      </c>
      <c r="C7" s="12" t="n">
        <v>2621</v>
      </c>
      <c r="D7" s="12" t="n">
        <v>2711</v>
      </c>
      <c r="E7" s="12" t="n">
        <v>2761</v>
      </c>
      <c r="F7" s="13" t="n">
        <v>0.992224</v>
      </c>
      <c r="G7" s="12" t="n">
        <v>268610</v>
      </c>
      <c r="H7" s="28" t="n">
        <f aca="false">C7/$C$6-1</f>
        <v>0</v>
      </c>
      <c r="I7" s="28" t="n">
        <f aca="false">G7/$G$6-1</f>
        <v>0</v>
      </c>
    </row>
    <row r="8" customFormat="false" ht="15" hidden="false" customHeight="false" outlineLevel="0" collapsed="false">
      <c r="A8" s="21" t="s">
        <v>275</v>
      </c>
      <c r="B8" s="21" t="s">
        <v>276</v>
      </c>
      <c r="C8" s="9" t="n">
        <v>2585</v>
      </c>
      <c r="D8" s="9" t="n">
        <v>2726</v>
      </c>
      <c r="E8" s="9" t="n">
        <v>2766</v>
      </c>
      <c r="F8" s="10" t="n">
        <v>0.989804</v>
      </c>
      <c r="G8" s="9" t="n">
        <v>268509</v>
      </c>
      <c r="H8" s="25" t="n">
        <f aca="false">C8/$C$6-1</f>
        <v>-0.0137352155665776</v>
      </c>
      <c r="I8" s="25" t="n">
        <f aca="false">G8/$G$6-1</f>
        <v>-0.000376009828375712</v>
      </c>
    </row>
    <row r="9" customFormat="false" ht="15" hidden="false" customHeight="false" outlineLevel="0" collapsed="false">
      <c r="A9" s="23" t="s">
        <v>277</v>
      </c>
      <c r="B9" s="23" t="s">
        <v>278</v>
      </c>
      <c r="C9" s="12" t="n">
        <v>2621</v>
      </c>
      <c r="D9" s="12" t="n">
        <v>2711</v>
      </c>
      <c r="E9" s="12" t="n">
        <v>2761</v>
      </c>
      <c r="F9" s="13" t="n">
        <v>0.992224</v>
      </c>
      <c r="G9" s="12" t="n">
        <v>268610</v>
      </c>
      <c r="H9" s="28" t="n">
        <f aca="false">C9/$C$6-1</f>
        <v>0</v>
      </c>
      <c r="I9" s="28" t="n">
        <f aca="false">G9/$G$6-1</f>
        <v>0</v>
      </c>
    </row>
    <row r="10" customFormat="false" ht="15" hidden="false" customHeight="false" outlineLevel="0" collapsed="false">
      <c r="A10" s="21" t="s">
        <v>279</v>
      </c>
      <c r="B10" s="21" t="s">
        <v>280</v>
      </c>
      <c r="C10" s="9" t="n">
        <v>1821</v>
      </c>
      <c r="D10" s="9" t="n">
        <v>2001</v>
      </c>
      <c r="E10" s="9" t="n">
        <v>2076</v>
      </c>
      <c r="F10" s="10" t="n">
        <v>0.993171</v>
      </c>
      <c r="G10" s="9" t="n">
        <v>198218</v>
      </c>
      <c r="H10" s="25" t="n">
        <f aca="false">C10/$C$6-1</f>
        <v>-0.305227012590614</v>
      </c>
      <c r="I10" s="25" t="n">
        <f aca="false">G10/$G$6-1</f>
        <v>-0.262060236029932</v>
      </c>
    </row>
    <row r="11" customFormat="false" ht="15" hidden="false" customHeight="false" outlineLevel="0" collapsed="false">
      <c r="A11" s="23" t="s">
        <v>281</v>
      </c>
      <c r="B11" s="23" t="s">
        <v>282</v>
      </c>
      <c r="C11" s="12" t="n">
        <v>2171</v>
      </c>
      <c r="D11" s="12" t="n">
        <v>2641</v>
      </c>
      <c r="E11" s="12" t="n">
        <v>2746</v>
      </c>
      <c r="F11" s="13" t="n">
        <v>0.990522</v>
      </c>
      <c r="G11" s="12" t="n">
        <v>258228</v>
      </c>
      <c r="H11" s="28" t="n">
        <f aca="false">C11/$C$6-1</f>
        <v>-0.171690194582221</v>
      </c>
      <c r="I11" s="28" t="n">
        <f aca="false">G11/$G$6-1</f>
        <v>-0.0386508320613529</v>
      </c>
    </row>
    <row r="12" customFormat="false" ht="15" hidden="false" customHeight="false" outlineLevel="0" collapsed="false">
      <c r="A12" s="21" t="s">
        <v>283</v>
      </c>
      <c r="B12" s="21" t="s">
        <v>284</v>
      </c>
      <c r="C12" s="9" t="n">
        <v>1730</v>
      </c>
      <c r="D12" s="9" t="n">
        <v>2086</v>
      </c>
      <c r="E12" s="9" t="n">
        <v>2166</v>
      </c>
      <c r="F12" s="10" t="n">
        <v>0.98163</v>
      </c>
      <c r="G12" s="9" t="n">
        <v>201565</v>
      </c>
      <c r="H12" s="25" t="n">
        <f aca="false">C12/$C$6-1</f>
        <v>-0.339946585272797</v>
      </c>
      <c r="I12" s="25" t="n">
        <f aca="false">G12/$G$6-1</f>
        <v>-0.249599791519303</v>
      </c>
    </row>
    <row r="15" customFormat="false" ht="15" hidden="false" customHeight="false" outlineLevel="0" collapsed="false">
      <c r="A15" s="3" t="s">
        <v>285</v>
      </c>
    </row>
    <row r="16" customFormat="false" ht="33.75" hidden="false" customHeight="true" outlineLevel="0" collapsed="false">
      <c r="A16" s="6" t="s">
        <v>286</v>
      </c>
      <c r="B16" s="6" t="s">
        <v>229</v>
      </c>
      <c r="C16" s="6" t="s">
        <v>78</v>
      </c>
      <c r="D16" s="6" t="s">
        <v>79</v>
      </c>
      <c r="E16" s="6" t="s">
        <v>80</v>
      </c>
      <c r="F16" s="6" t="s">
        <v>81</v>
      </c>
      <c r="G16" s="6" t="s">
        <v>287</v>
      </c>
      <c r="H16" s="6" t="s">
        <v>288</v>
      </c>
      <c r="I16" s="6" t="s">
        <v>289</v>
      </c>
      <c r="J16" s="6" t="s">
        <v>290</v>
      </c>
    </row>
    <row r="17" customFormat="false" ht="15" hidden="false" customHeight="false" outlineLevel="0" collapsed="false">
      <c r="A17" s="21" t="s">
        <v>291</v>
      </c>
      <c r="B17" s="21" t="s">
        <v>236</v>
      </c>
      <c r="C17" s="9" t="n">
        <v>2621</v>
      </c>
      <c r="D17" s="9" t="n">
        <v>2711</v>
      </c>
      <c r="E17" s="9" t="n">
        <v>2761</v>
      </c>
      <c r="F17" s="10" t="n">
        <v>0.992224</v>
      </c>
      <c r="G17" s="9" t="n">
        <v>2618</v>
      </c>
      <c r="H17" s="9" t="n">
        <v>2720</v>
      </c>
      <c r="I17" s="9" t="n">
        <v>2766</v>
      </c>
      <c r="J17" s="10" t="n">
        <v>0.9926</v>
      </c>
    </row>
    <row r="18" customFormat="false" ht="15" hidden="false" customHeight="false" outlineLevel="0" collapsed="false">
      <c r="A18" s="23" t="s">
        <v>292</v>
      </c>
      <c r="B18" s="23" t="s">
        <v>236</v>
      </c>
      <c r="C18" s="12" t="n">
        <v>2566</v>
      </c>
      <c r="D18" s="12" t="n">
        <v>2661</v>
      </c>
      <c r="E18" s="12" t="n">
        <v>2692</v>
      </c>
      <c r="F18" s="13" t="n">
        <v>0.991087</v>
      </c>
      <c r="G18" s="12" t="n">
        <v>2571</v>
      </c>
      <c r="H18" s="12" t="n">
        <v>2664</v>
      </c>
      <c r="I18" s="12" t="n">
        <v>2704</v>
      </c>
      <c r="J18" s="13" t="n">
        <v>0.9922</v>
      </c>
    </row>
    <row r="19" customFormat="false" ht="15" hidden="false" customHeight="false" outlineLevel="0" collapsed="false">
      <c r="A19" s="31" t="s">
        <v>293</v>
      </c>
      <c r="B19" s="31" t="s">
        <v>236</v>
      </c>
      <c r="C19" s="15" t="n">
        <v>2621</v>
      </c>
      <c r="D19" s="15" t="n">
        <v>2711</v>
      </c>
      <c r="E19" s="15" t="n">
        <v>2756</v>
      </c>
      <c r="F19" s="16" t="n">
        <v>0.992668</v>
      </c>
      <c r="G19" s="15" t="n">
        <v>2618</v>
      </c>
      <c r="H19" s="15" t="n">
        <v>2720</v>
      </c>
      <c r="I19" s="15" t="n">
        <v>2765</v>
      </c>
      <c r="J19" s="16" t="n">
        <v>0.9925</v>
      </c>
    </row>
    <row r="20" customFormat="false" ht="15" hidden="false" customHeight="false" outlineLevel="0" collapsed="false">
      <c r="A20" s="23" t="s">
        <v>291</v>
      </c>
      <c r="B20" s="23" t="s">
        <v>239</v>
      </c>
      <c r="C20" s="12" t="n">
        <v>1471</v>
      </c>
      <c r="D20" s="12" t="n">
        <v>1646</v>
      </c>
      <c r="E20" s="12" t="n">
        <v>1716</v>
      </c>
      <c r="F20" s="13" t="n">
        <v>0.986599</v>
      </c>
      <c r="G20" s="12" t="n">
        <v>1487</v>
      </c>
      <c r="H20" s="12" t="n">
        <v>1673</v>
      </c>
      <c r="I20" s="12" t="n">
        <v>1730</v>
      </c>
      <c r="J20" s="13" t="n">
        <v>0.9886</v>
      </c>
    </row>
    <row r="21" customFormat="false" ht="15" hidden="false" customHeight="false" outlineLevel="0" collapsed="false">
      <c r="A21" s="21" t="s">
        <v>292</v>
      </c>
      <c r="B21" s="21" t="s">
        <v>239</v>
      </c>
      <c r="C21" s="9" t="n">
        <v>1696</v>
      </c>
      <c r="D21" s="9" t="n">
        <v>1901</v>
      </c>
      <c r="E21" s="9" t="n">
        <v>1961</v>
      </c>
      <c r="F21" s="10" t="n">
        <v>0.990255</v>
      </c>
      <c r="G21" s="9" t="n">
        <v>1740</v>
      </c>
      <c r="H21" s="9" t="n">
        <v>1932</v>
      </c>
      <c r="I21" s="9" t="n">
        <v>1992</v>
      </c>
      <c r="J21" s="10" t="n">
        <v>0.9907</v>
      </c>
    </row>
    <row r="22" customFormat="false" ht="15" hidden="false" customHeight="false" outlineLevel="0" collapsed="false">
      <c r="A22" s="31" t="s">
        <v>293</v>
      </c>
      <c r="B22" s="31" t="s">
        <v>239</v>
      </c>
      <c r="C22" s="15" t="n">
        <v>1716</v>
      </c>
      <c r="D22" s="15" t="n">
        <v>1886</v>
      </c>
      <c r="E22" s="15" t="n">
        <v>1956</v>
      </c>
      <c r="F22" s="16" t="n">
        <v>0.990719</v>
      </c>
      <c r="G22" s="15" t="n">
        <v>1743</v>
      </c>
      <c r="H22" s="15" t="n">
        <v>1932</v>
      </c>
      <c r="I22" s="15" t="n">
        <v>1995</v>
      </c>
      <c r="J22" s="16" t="n">
        <v>0.9905</v>
      </c>
    </row>
    <row r="25" customFormat="false" ht="15" hidden="false" customHeight="false" outlineLevel="0" collapsed="false">
      <c r="A25" s="3" t="s">
        <v>294</v>
      </c>
    </row>
    <row r="26" customFormat="false" ht="33.75" hidden="false" customHeight="true" outlineLevel="0" collapsed="false">
      <c r="A26" s="6" t="s">
        <v>76</v>
      </c>
      <c r="B26" s="6" t="s">
        <v>229</v>
      </c>
      <c r="C26" s="6" t="s">
        <v>287</v>
      </c>
      <c r="D26" s="6" t="s">
        <v>288</v>
      </c>
      <c r="E26" s="6" t="s">
        <v>289</v>
      </c>
      <c r="F26" s="6" t="s">
        <v>290</v>
      </c>
    </row>
    <row r="27" customFormat="false" ht="15" hidden="false" customHeight="false" outlineLevel="0" collapsed="false">
      <c r="A27" s="21" t="s">
        <v>295</v>
      </c>
      <c r="B27" s="21" t="s">
        <v>236</v>
      </c>
      <c r="C27" s="9" t="n">
        <v>1688</v>
      </c>
      <c r="D27" s="9" t="n">
        <v>2119</v>
      </c>
      <c r="E27" s="9" t="n">
        <v>2374</v>
      </c>
      <c r="F27" s="10" t="n">
        <v>0.9756</v>
      </c>
    </row>
    <row r="28" customFormat="false" ht="15" hidden="false" customHeight="false" outlineLevel="0" collapsed="false">
      <c r="A28" s="31" t="s">
        <v>262</v>
      </c>
      <c r="B28" s="31" t="s">
        <v>236</v>
      </c>
      <c r="C28" s="15" t="n">
        <v>2618</v>
      </c>
      <c r="D28" s="15" t="n">
        <v>2720</v>
      </c>
      <c r="E28" s="15" t="n">
        <v>2766</v>
      </c>
      <c r="F28" s="16" t="n">
        <v>0.9926</v>
      </c>
    </row>
    <row r="29" customFormat="false" ht="15" hidden="false" customHeight="false" outlineLevel="0" collapsed="false">
      <c r="A29" s="21" t="s">
        <v>295</v>
      </c>
      <c r="B29" s="21" t="s">
        <v>239</v>
      </c>
      <c r="C29" s="9" t="n">
        <v>1152</v>
      </c>
      <c r="D29" s="9" t="n">
        <v>1674</v>
      </c>
      <c r="E29" s="9" t="n">
        <v>2001</v>
      </c>
      <c r="F29" s="10" t="n">
        <v>0.9772</v>
      </c>
    </row>
    <row r="30" customFormat="false" ht="15" hidden="false" customHeight="false" outlineLevel="0" collapsed="false">
      <c r="A30" s="31" t="s">
        <v>262</v>
      </c>
      <c r="B30" s="31" t="s">
        <v>239</v>
      </c>
      <c r="C30" s="15" t="n">
        <v>1487</v>
      </c>
      <c r="D30" s="15" t="n">
        <v>1673</v>
      </c>
      <c r="E30" s="15" t="n">
        <v>1732</v>
      </c>
      <c r="F30" s="16" t="n">
        <v>0.9882</v>
      </c>
    </row>
    <row r="32" customFormat="false" ht="15" hidden="false" customHeight="false" outlineLevel="0" collapsed="false">
      <c r="A32" s="2" t="s">
        <v>296</v>
      </c>
    </row>
    <row r="33" customFormat="false" ht="15" hidden="false" customHeight="false" outlineLevel="0" collapsed="false">
      <c r="A33" s="2" t="s"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2026-09-23T22:16:44Z</dcterms:created>
  <dc:creator>openpyxl</dc:creator>
  <dc:description/>
  <dc:language>en-US</dc:language>
  <cp:lastModifiedBy/>
  <dcterms:modified xsi:type="dcterms:W3CDTF">2026-09-23T22:16:55Z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