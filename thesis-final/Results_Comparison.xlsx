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%;-0%"/>
    <numFmt numFmtId="165" formatCode="+0.0%;-0.0%"/>
  </numFmts>
  <fonts count="8">
    <font>
      <name val="Calibri"/>
      <family val="2"/>
      <color theme="1"/>
      <sz val="11"/>
      <scheme val="minor"/>
    </font>
    <font>
      <name val="Arial"/>
      <b val="1"/>
      <color rgb="0014213D"/>
      <sz val="15"/>
    </font>
    <font>
      <name val="Arial"/>
      <i val="1"/>
      <color rgb="005F5E5A"/>
      <sz val="10"/>
    </font>
    <font>
      <name val="Arial"/>
      <b val="1"/>
      <color rgb="0014213D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14213D"/>
      <sz val="11"/>
    </font>
  </fonts>
  <fills count="8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14213D"/>
      </patternFill>
    </fill>
    <fill>
      <patternFill patternType="solid">
        <fgColor rgb="00FFFFFF"/>
      </patternFill>
    </fill>
    <fill>
      <patternFill patternType="solid">
        <fgColor rgb="00F3F6FB"/>
      </patternFill>
    </fill>
    <fill>
      <patternFill patternType="solid">
        <fgColor rgb="00DCE9FA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D0CFC6"/>
      </left>
      <right style="thin">
        <color rgb="00D0CFC6"/>
      </right>
      <top style="thin">
        <color rgb="00D0CFC6"/>
      </top>
      <bottom style="thin">
        <color rgb="00D0CFC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center" vertical="center" wrapText="1"/>
    </xf>
    <xf numFmtId="1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10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10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 node death — BS at the centre vs far away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'Results'!$A$7:$A$14</f>
            </numRef>
          </cat>
          <val>
            <numRef>
              <f>'Results'!$C$7:$C$14</f>
            </numRef>
          </val>
        </ser>
        <ser>
          <idx val="1"/>
          <order val="1"/>
          <tx>
            <strRef>
              <f>'Results'!G6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'Results'!$A$7:$A$14</f>
            </numRef>
          </cat>
          <val>
            <numRef>
              <f>'Results'!$G$7:$G$14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FND (rounds)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14" customWidth="1" min="8" max="8"/>
  </cols>
  <sheetData>
    <row r="1">
      <c r="A1" s="1" t="inlineStr">
        <is>
          <t>Results — all protocols in the same environment</t>
        </is>
      </c>
    </row>
    <row r="2">
      <c r="A2" s="2" t="inlineStr">
        <is>
          <t>ns-3.41, 100 nodes, 100 × 100 m, 0.5 J per node, BS at the centre (50, 50); far BS = (50, −100). FND / HND / LND = round of the first / half / last node death. PDR = delivered ÷ generated readings.</t>
        </is>
      </c>
    </row>
    <row r="5" ht="22" customHeight="1">
      <c r="A5" s="3" t="inlineStr">
        <is>
          <t>1. Final comparison — the best version of every protocol</t>
        </is>
      </c>
    </row>
    <row r="6" ht="30" customHeight="1">
      <c r="A6" s="4" t="inlineStr">
        <is>
          <t>Protocol</t>
        </is>
      </c>
      <c r="B6" s="4" t="inlineStr">
        <is>
          <t>Family</t>
        </is>
      </c>
      <c r="C6" s="4" t="inlineStr">
        <is>
          <t>FND</t>
        </is>
      </c>
      <c r="D6" s="4" t="inlineStr">
        <is>
          <t>HND</t>
        </is>
      </c>
      <c r="E6" s="4" t="inlineStr">
        <is>
          <t>LND</t>
        </is>
      </c>
      <c r="F6" s="4" t="inlineStr">
        <is>
          <t>PDR</t>
        </is>
      </c>
      <c r="G6" s="4" t="inlineStr">
        <is>
          <t>FND far BS</t>
        </is>
      </c>
      <c r="H6" s="4" t="inlineStr">
        <is>
          <t>v8 gain (FND)</t>
        </is>
      </c>
    </row>
    <row r="7">
      <c r="A7" s="5" t="inlineStr">
        <is>
          <t>LEACH</t>
        </is>
      </c>
      <c r="B7" s="6" t="inlineStr">
        <is>
          <t>classic</t>
        </is>
      </c>
      <c r="C7" s="7" t="n">
        <v>1383</v>
      </c>
      <c r="D7" s="7" t="n">
        <v>1586</v>
      </c>
      <c r="E7" s="7" t="n">
        <v>1842</v>
      </c>
      <c r="F7" s="8" t="n">
        <v>0.9939519999999999</v>
      </c>
      <c r="G7" s="7" t="n">
        <v>988</v>
      </c>
      <c r="H7" s="9" t="n">
        <v>0.7686189443239335</v>
      </c>
    </row>
    <row r="8">
      <c r="A8" s="10" t="inlineStr">
        <is>
          <t>HEED</t>
        </is>
      </c>
      <c r="B8" s="11" t="inlineStr">
        <is>
          <t>classic</t>
        </is>
      </c>
      <c r="C8" s="12" t="n">
        <v>658</v>
      </c>
      <c r="D8" s="12" t="n">
        <v>1197</v>
      </c>
      <c r="E8" s="12" t="n">
        <v>1875</v>
      </c>
      <c r="F8" s="13" t="n">
        <v>0.996512</v>
      </c>
      <c r="G8" s="12" t="n">
        <v>350</v>
      </c>
      <c r="H8" s="14" t="n">
        <v>2.717325227963526</v>
      </c>
    </row>
    <row r="9">
      <c r="A9" s="5" t="inlineStr">
        <is>
          <t>PEGASIS</t>
        </is>
      </c>
      <c r="B9" s="6" t="inlineStr">
        <is>
          <t>classic</t>
        </is>
      </c>
      <c r="C9" s="7" t="n">
        <v>1324</v>
      </c>
      <c r="D9" s="7" t="n">
        <v>2352</v>
      </c>
      <c r="E9" s="7" t="n">
        <v>3504</v>
      </c>
      <c r="F9" s="8" t="n">
        <v>0.994186</v>
      </c>
      <c r="G9" s="7" t="n">
        <v>1374</v>
      </c>
      <c r="H9" s="9" t="n">
        <v>0.8474320241691844</v>
      </c>
    </row>
    <row r="10">
      <c r="A10" s="10" t="inlineStr">
        <is>
          <t>SH-LEACH+</t>
        </is>
      </c>
      <c r="B10" s="11" t="inlineStr">
        <is>
          <t>hybrid, after our fix</t>
        </is>
      </c>
      <c r="C10" s="12" t="n">
        <v>1480</v>
      </c>
      <c r="D10" s="12" t="n">
        <v>1542</v>
      </c>
      <c r="E10" s="12" t="n">
        <v>1558</v>
      </c>
      <c r="F10" s="13" t="n">
        <v>0.992063</v>
      </c>
      <c r="G10" s="12" t="n">
        <v>1388</v>
      </c>
      <c r="H10" s="14" t="n">
        <v>0.6527027027027028</v>
      </c>
    </row>
    <row r="11">
      <c r="A11" s="5" t="inlineStr">
        <is>
          <t>H-LEACH+</t>
        </is>
      </c>
      <c r="B11" s="6" t="inlineStr">
        <is>
          <t>hybrid, after our fix</t>
        </is>
      </c>
      <c r="C11" s="7" t="n">
        <v>1473</v>
      </c>
      <c r="D11" s="7" t="n">
        <v>1509</v>
      </c>
      <c r="E11" s="7" t="n">
        <v>1525</v>
      </c>
      <c r="F11" s="8" t="n">
        <v>0.993617</v>
      </c>
      <c r="G11" s="7" t="n">
        <v>1219</v>
      </c>
      <c r="H11" s="9" t="n">
        <v>0.6605566870332655</v>
      </c>
    </row>
    <row r="12">
      <c r="A12" s="10" t="inlineStr">
        <is>
          <t>EECH-HEED+</t>
        </is>
      </c>
      <c r="B12" s="11" t="inlineStr">
        <is>
          <t>recent hybrid, after our fix</t>
        </is>
      </c>
      <c r="C12" s="12" t="n">
        <v>1335</v>
      </c>
      <c r="D12" s="12" t="n">
        <v>1384</v>
      </c>
      <c r="E12" s="12" t="n">
        <v>1766</v>
      </c>
      <c r="F12" s="13" t="n">
        <v>0.996207</v>
      </c>
      <c r="G12" s="12" t="n">
        <v>1410</v>
      </c>
      <c r="H12" s="14" t="n">
        <v>0.8322097378277153</v>
      </c>
    </row>
    <row r="13">
      <c r="A13" s="15" t="inlineStr">
        <is>
          <t>v8 (main)</t>
        </is>
      </c>
      <c r="B13" s="15" t="inlineStr">
        <is>
          <t>proposed</t>
        </is>
      </c>
      <c r="C13" s="16" t="n">
        <v>2446</v>
      </c>
      <c r="D13" s="16" t="n">
        <v>2536</v>
      </c>
      <c r="E13" s="16" t="n">
        <v>2566</v>
      </c>
      <c r="F13" s="17" t="n">
        <v>0.997208</v>
      </c>
      <c r="G13" s="16" t="n">
        <v>1406</v>
      </c>
      <c r="H13" s="18" t="inlineStr">
        <is>
          <t>—</t>
        </is>
      </c>
    </row>
    <row r="14">
      <c r="A14" s="15" t="inlineStr">
        <is>
          <t>v8-Chain (far BS)</t>
        </is>
      </c>
      <c r="B14" s="15" t="inlineStr">
        <is>
          <t>proposed</t>
        </is>
      </c>
      <c r="C14" s="16" t="n">
        <v>2446</v>
      </c>
      <c r="D14" s="16" t="n">
        <v>2536</v>
      </c>
      <c r="E14" s="16" t="n">
        <v>2566</v>
      </c>
      <c r="F14" s="17" t="n">
        <v>0.9971680000000001</v>
      </c>
      <c r="G14" s="16" t="n">
        <v>1626</v>
      </c>
      <c r="H14" s="18" t="inlineStr">
        <is>
          <t>—</t>
        </is>
      </c>
    </row>
    <row r="16" ht="22" customHeight="1">
      <c r="A16" s="3" t="inlineStr">
        <is>
          <t>2. The three hybrids — before and after our fix (FND)</t>
        </is>
      </c>
    </row>
    <row r="17" ht="30" customHeight="1">
      <c r="A17" s="4" t="inlineStr">
        <is>
          <t>Protocol</t>
        </is>
      </c>
      <c r="B17" s="4" t="inlineStr">
        <is>
          <t>Problem we found</t>
        </is>
      </c>
      <c r="C17" s="4" t="inlineStr">
        <is>
          <t>Paper settings</t>
        </is>
      </c>
      <c r="D17" s="4" t="inlineStr">
        <is>
          <t>Same env. (as published)</t>
        </is>
      </c>
      <c r="E17" s="4" t="inlineStr">
        <is>
          <t>After our fix</t>
        </is>
      </c>
      <c r="F17" s="4" t="inlineStr">
        <is>
          <t>Change</t>
        </is>
      </c>
      <c r="G17" s="4" t="inlineStr">
        <is>
          <t>Far BS after fix</t>
        </is>
      </c>
      <c r="H17" s="4" t="inlineStr"/>
    </row>
    <row r="18">
      <c r="A18" s="10" t="inlineStr">
        <is>
          <t>SH-LEACH</t>
        </is>
      </c>
      <c r="B18" s="11" t="inlineStr">
        <is>
          <t>round counter never resets → too many CHs</t>
        </is>
      </c>
      <c r="C18" s="12" t="n">
        <v>484</v>
      </c>
      <c r="D18" s="12" t="n">
        <v>647</v>
      </c>
      <c r="E18" s="12" t="n">
        <v>1480</v>
      </c>
      <c r="F18" s="19" t="n">
        <v>1.287480680061824</v>
      </c>
      <c r="G18" s="12" t="n">
        <v>1388</v>
      </c>
      <c r="H18" s="20" t="inlineStr"/>
    </row>
    <row r="19">
      <c r="A19" s="5" t="inlineStr">
        <is>
          <t>H-LEACH</t>
        </is>
      </c>
      <c r="B19" s="6" t="inlineStr">
        <is>
          <t>deadlock (E &gt; average) + no G-set</t>
        </is>
      </c>
      <c r="C19" s="7" t="n">
        <v>1078</v>
      </c>
      <c r="D19" s="7" t="n">
        <v>1384</v>
      </c>
      <c r="E19" s="7" t="n">
        <v>1473</v>
      </c>
      <c r="F19" s="21" t="n">
        <v>0.06430635838150289</v>
      </c>
      <c r="G19" s="7" t="n">
        <v>1219</v>
      </c>
      <c r="H19" s="22" t="inlineStr"/>
    </row>
    <row r="20">
      <c r="A20" s="10" t="inlineStr">
        <is>
          <t>EECH-HEED</t>
        </is>
      </c>
      <c r="B20" s="11" t="inlineStr">
        <is>
          <t>rotation of 1 round in zone 2</t>
        </is>
      </c>
      <c r="C20" s="12" t="n">
        <v>1121</v>
      </c>
      <c r="D20" s="12" t="n">
        <v>1277</v>
      </c>
      <c r="E20" s="12" t="n">
        <v>1335</v>
      </c>
      <c r="F20" s="19" t="n">
        <v>0.04541895066562263</v>
      </c>
      <c r="G20" s="12" t="n">
        <v>1410</v>
      </c>
      <c r="H20" s="20" t="inlineStr"/>
    </row>
    <row r="21">
      <c r="A21" s="5" t="inlineStr">
        <is>
          <t>LEACH (reference)</t>
        </is>
      </c>
      <c r="B21" s="6" t="inlineStr">
        <is>
          <t>—</t>
        </is>
      </c>
      <c r="C21" s="7" t="n">
        <v>1035</v>
      </c>
      <c r="D21" s="7" t="n">
        <v>1383</v>
      </c>
      <c r="E21" s="22" t="inlineStr">
        <is>
          <t>—</t>
        </is>
      </c>
      <c r="F21" s="22" t="inlineStr">
        <is>
          <t>—</t>
        </is>
      </c>
      <c r="G21" s="7" t="n">
        <v>988</v>
      </c>
      <c r="H21" s="22" t="inlineStr"/>
    </row>
    <row r="23" ht="22" customHeight="1">
      <c r="A23" s="3" t="inlineStr">
        <is>
          <t>3. Our protocol — one change per version (BS at the centre)</t>
        </is>
      </c>
    </row>
    <row r="24" ht="30" customHeight="1">
      <c r="A24" s="4" t="inlineStr">
        <is>
          <t>Version</t>
        </is>
      </c>
      <c r="B24" s="4" t="inlineStr">
        <is>
          <t>What changed</t>
        </is>
      </c>
      <c r="C24" s="4" t="inlineStr">
        <is>
          <t>FND</t>
        </is>
      </c>
      <c r="D24" s="4" t="inlineStr">
        <is>
          <t>HND</t>
        </is>
      </c>
      <c r="E24" s="4" t="inlineStr">
        <is>
          <t>LND</t>
        </is>
      </c>
      <c r="F24" s="4" t="inlineStr">
        <is>
          <t>PDR</t>
        </is>
      </c>
      <c r="G24" s="4" t="inlineStr">
        <is>
          <t>FND change</t>
        </is>
      </c>
      <c r="H24" s="4" t="inlineStr"/>
    </row>
    <row r="25">
      <c r="A25" s="5" t="inlineStr">
        <is>
          <t>v1</t>
        </is>
      </c>
      <c r="B25" s="6" t="inlineStr">
        <is>
          <t>HEED election + LEACH join</t>
        </is>
      </c>
      <c r="C25" s="7" t="n">
        <v>320</v>
      </c>
      <c r="D25" s="7" t="n">
        <v>529</v>
      </c>
      <c r="E25" s="7" t="n">
        <v>1218</v>
      </c>
      <c r="F25" s="8" t="n">
        <v>0.997623</v>
      </c>
      <c r="G25" s="21" t="inlineStr">
        <is>
          <t>—</t>
        </is>
      </c>
      <c r="H25" s="22" t="inlineStr"/>
    </row>
    <row r="26">
      <c r="A26" s="10" t="inlineStr">
        <is>
          <t>v2</t>
        </is>
      </c>
      <c r="B26" s="11" t="inlineStr">
        <is>
          <t>+ fairness penalty</t>
        </is>
      </c>
      <c r="C26" s="12" t="n">
        <v>334</v>
      </c>
      <c r="D26" s="12" t="n">
        <v>528</v>
      </c>
      <c r="E26" s="12" t="n">
        <v>1285</v>
      </c>
      <c r="F26" s="13" t="n">
        <v>0.997665</v>
      </c>
      <c r="G26" s="19" t="n">
        <v>0.04374999999999996</v>
      </c>
      <c r="H26" s="20" t="inlineStr"/>
    </row>
    <row r="27">
      <c r="A27" s="5" t="inlineStr">
        <is>
          <t>v3</t>
        </is>
      </c>
      <c r="B27" s="6" t="inlineStr">
        <is>
          <t>single-pass score + 5-round reuse</t>
        </is>
      </c>
      <c r="C27" s="7" t="n">
        <v>1645</v>
      </c>
      <c r="D27" s="7" t="n">
        <v>2001</v>
      </c>
      <c r="E27" s="7" t="n">
        <v>2203</v>
      </c>
      <c r="F27" s="8" t="n">
        <v>0.983494</v>
      </c>
      <c r="G27" s="21" t="n">
        <v>3.925149700598802</v>
      </c>
      <c r="H27" s="22" t="inlineStr"/>
    </row>
    <row r="28">
      <c r="A28" s="10" t="inlineStr">
        <is>
          <t>v4</t>
        </is>
      </c>
      <c r="B28" s="11" t="inlineStr">
        <is>
          <t>reuse 15 rounds</t>
        </is>
      </c>
      <c r="C28" s="12" t="n">
        <v>1513</v>
      </c>
      <c r="D28" s="12" t="n">
        <v>2158</v>
      </c>
      <c r="E28" s="12" t="n">
        <v>2416</v>
      </c>
      <c r="F28" s="13" t="n">
        <v>0.970722</v>
      </c>
      <c r="G28" s="19" t="n">
        <v>-0.08024316109422491</v>
      </c>
      <c r="H28" s="20" t="inlineStr"/>
    </row>
    <row r="29">
      <c r="A29" s="5" t="inlineStr">
        <is>
          <t>v5</t>
        </is>
      </c>
      <c r="B29" s="6" t="inlineStr">
        <is>
          <t>+ backup CH (interval 15)</t>
        </is>
      </c>
      <c r="C29" s="7" t="n">
        <v>1513</v>
      </c>
      <c r="D29" s="7" t="n">
        <v>2116</v>
      </c>
      <c r="E29" s="7" t="n">
        <v>2356</v>
      </c>
      <c r="F29" s="8" t="n">
        <v>0.984351</v>
      </c>
      <c r="G29" s="21" t="n">
        <v>0</v>
      </c>
      <c r="H29" s="22" t="inlineStr"/>
    </row>
    <row r="30">
      <c r="A30" s="10" t="inlineStr">
        <is>
          <t>v5b</t>
        </is>
      </c>
      <c r="B30" s="11" t="inlineStr">
        <is>
          <t>backup + repair, interval 5, energy check</t>
        </is>
      </c>
      <c r="C30" s="12" t="n">
        <v>1645</v>
      </c>
      <c r="D30" s="12" t="n">
        <v>1996</v>
      </c>
      <c r="E30" s="12" t="n">
        <v>2116</v>
      </c>
      <c r="F30" s="13" t="n">
        <v>0.986194</v>
      </c>
      <c r="G30" s="19" t="n">
        <v>0.08724388631857227</v>
      </c>
      <c r="H30" s="20" t="inlineStr"/>
    </row>
    <row r="31">
      <c r="A31" s="5" t="inlineStr">
        <is>
          <t>v6</t>
        </is>
      </c>
      <c r="B31" s="6" t="inlineStr">
        <is>
          <t>ordered CH chain</t>
        </is>
      </c>
      <c r="C31" s="7" t="n">
        <v>1521</v>
      </c>
      <c r="D31" s="7" t="n">
        <v>1913</v>
      </c>
      <c r="E31" s="7" t="n">
        <v>2025</v>
      </c>
      <c r="F31" s="8" t="n">
        <v>0.985123</v>
      </c>
      <c r="G31" s="21" t="n">
        <v>-0.07537993920972641</v>
      </c>
      <c r="H31" s="22" t="inlineStr"/>
    </row>
    <row r="32">
      <c r="A32" s="10" t="inlineStr">
        <is>
          <t>v7</t>
        </is>
      </c>
      <c r="B32" s="11" t="inlineStr">
        <is>
          <t>chain + backup + repair</t>
        </is>
      </c>
      <c r="C32" s="12" t="n">
        <v>1521</v>
      </c>
      <c r="D32" s="12" t="n">
        <v>1906</v>
      </c>
      <c r="E32" s="12" t="n">
        <v>2011</v>
      </c>
      <c r="F32" s="13" t="n">
        <v>0.989135</v>
      </c>
      <c r="G32" s="19" t="n">
        <v>0</v>
      </c>
      <c r="H32" s="20" t="inlineStr"/>
    </row>
    <row r="33">
      <c r="A33" s="5" t="inlineStr">
        <is>
          <t>v7.1</t>
        </is>
      </c>
      <c r="B33" s="6" t="inlineStr">
        <is>
          <t>greedy multi-hop tree</t>
        </is>
      </c>
      <c r="C33" s="7" t="n">
        <v>1466</v>
      </c>
      <c r="D33" s="7" t="n">
        <v>1896</v>
      </c>
      <c r="E33" s="7" t="n">
        <v>2011</v>
      </c>
      <c r="F33" s="8" t="n">
        <v>0.990826</v>
      </c>
      <c r="G33" s="21" t="n">
        <v>-0.03616042077580539</v>
      </c>
      <c r="H33" s="22" t="inlineStr"/>
    </row>
    <row r="34">
      <c r="A34" s="15" t="inlineStr">
        <is>
          <t>v8</t>
        </is>
      </c>
      <c r="B34" s="15" t="inlineStr">
        <is>
          <t>v5b + I1–I5</t>
        </is>
      </c>
      <c r="C34" s="16" t="n">
        <v>2446</v>
      </c>
      <c r="D34" s="16" t="n">
        <v>2536</v>
      </c>
      <c r="E34" s="16" t="n">
        <v>2566</v>
      </c>
      <c r="F34" s="17" t="n">
        <v>0.997208</v>
      </c>
      <c r="G34" s="23" t="n">
        <v>0.6684856753069577</v>
      </c>
      <c r="H34" s="24" t="inlineStr"/>
    </row>
    <row r="35">
      <c r="A35" s="15" t="inlineStr">
        <is>
          <t>v8-Chain</t>
        </is>
      </c>
      <c r="B35" s="15" t="inlineStr">
        <is>
          <t>v8 + energy-aware relay</t>
        </is>
      </c>
      <c r="C35" s="16" t="n">
        <v>2446</v>
      </c>
      <c r="D35" s="16" t="n">
        <v>2536</v>
      </c>
      <c r="E35" s="16" t="n">
        <v>2566</v>
      </c>
      <c r="F35" s="17" t="n">
        <v>0.9971680000000001</v>
      </c>
      <c r="G35" s="23" t="n">
        <v>0</v>
      </c>
      <c r="H35" s="24" t="inlineStr"/>
    </row>
    <row r="37" ht="22" customHeight="1">
      <c r="A37" s="3" t="inlineStr">
        <is>
          <t>4. Which part of v8 matters? (v8 with one improvement switched off)</t>
        </is>
      </c>
    </row>
    <row r="38" ht="30" customHeight="1">
      <c r="A38" s="4" t="inlineStr">
        <is>
          <t>Run</t>
        </is>
      </c>
      <c r="B38" s="4" t="inlineStr">
        <is>
          <t>Switched off</t>
        </is>
      </c>
      <c r="C38" s="4" t="inlineStr">
        <is>
          <t>FND</t>
        </is>
      </c>
      <c r="D38" s="4" t="inlineStr">
        <is>
          <t>HND</t>
        </is>
      </c>
      <c r="E38" s="4" t="inlineStr">
        <is>
          <t>LND</t>
        </is>
      </c>
      <c r="F38" s="4" t="inlineStr">
        <is>
          <t>PDR</t>
        </is>
      </c>
      <c r="G38" s="4" t="inlineStr">
        <is>
          <t>FND change</t>
        </is>
      </c>
      <c r="H38" s="4" t="inlineStr"/>
    </row>
    <row r="39">
      <c r="A39" s="15" t="inlineStr">
        <is>
          <t>v8 (full)</t>
        </is>
      </c>
      <c r="B39" s="15" t="inlineStr">
        <is>
          <t>—</t>
        </is>
      </c>
      <c r="C39" s="16" t="n">
        <v>2446</v>
      </c>
      <c r="D39" s="16" t="n">
        <v>2536</v>
      </c>
      <c r="E39" s="16" t="n">
        <v>2566</v>
      </c>
      <c r="F39" s="17" t="n">
        <v>0.997208</v>
      </c>
      <c r="G39" s="24" t="inlineStr">
        <is>
          <t>—</t>
        </is>
      </c>
      <c r="H39" s="24" t="inlineStr"/>
    </row>
    <row r="40">
      <c r="A40" s="10" t="inlineStr">
        <is>
          <t>v8 − I1</t>
        </is>
      </c>
      <c r="B40" s="11" t="inlineStr">
        <is>
          <t>I1 epoch fix</t>
        </is>
      </c>
      <c r="C40" s="12" t="n">
        <v>2451</v>
      </c>
      <c r="D40" s="12" t="n">
        <v>2541</v>
      </c>
      <c r="E40" s="12" t="n">
        <v>2581</v>
      </c>
      <c r="F40" s="13" t="n">
        <v>0.997409</v>
      </c>
      <c r="G40" s="19" t="n">
        <v>0.002044153720359709</v>
      </c>
      <c r="H40" s="20" t="inlineStr"/>
    </row>
    <row r="41">
      <c r="A41" s="5" t="inlineStr">
        <is>
          <t>v8 − I2</t>
        </is>
      </c>
      <c r="B41" s="6" t="inlineStr">
        <is>
          <t>I2 handover</t>
        </is>
      </c>
      <c r="C41" s="7" t="n">
        <v>2430</v>
      </c>
      <c r="D41" s="7" t="n">
        <v>2535</v>
      </c>
      <c r="E41" s="7" t="n">
        <v>2581</v>
      </c>
      <c r="F41" s="8" t="n">
        <v>0.996309</v>
      </c>
      <c r="G41" s="21" t="n">
        <v>-0.006541291905151292</v>
      </c>
      <c r="H41" s="22" t="inlineStr"/>
    </row>
    <row r="42">
      <c r="A42" s="10" t="inlineStr">
        <is>
          <t>v8 − I3</t>
        </is>
      </c>
      <c r="B42" s="11" t="inlineStr">
        <is>
          <t>I3 re-join</t>
        </is>
      </c>
      <c r="C42" s="12" t="n">
        <v>2446</v>
      </c>
      <c r="D42" s="12" t="n">
        <v>2536</v>
      </c>
      <c r="E42" s="12" t="n">
        <v>2566</v>
      </c>
      <c r="F42" s="13" t="n">
        <v>0.997105</v>
      </c>
      <c r="G42" s="19" t="n">
        <v>0</v>
      </c>
      <c r="H42" s="20" t="inlineStr"/>
    </row>
    <row r="43">
      <c r="A43" s="5" t="inlineStr">
        <is>
          <t>v8 − I4</t>
        </is>
      </c>
      <c r="B43" s="6" t="inlineStr">
        <is>
          <t>I4 direct-to-BS</t>
        </is>
      </c>
      <c r="C43" s="7" t="n">
        <v>1766</v>
      </c>
      <c r="D43" s="7" t="n">
        <v>1916</v>
      </c>
      <c r="E43" s="7" t="n">
        <v>1981</v>
      </c>
      <c r="F43" s="8" t="n">
        <v>0.995359</v>
      </c>
      <c r="G43" s="21" t="n">
        <v>-0.2780049059689289</v>
      </c>
      <c r="H43" s="22" t="inlineStr"/>
    </row>
    <row r="44">
      <c r="A44" s="10" t="inlineStr">
        <is>
          <t>v8 − I5</t>
        </is>
      </c>
      <c r="B44" s="11" t="inlineStr">
        <is>
          <t>I5 energy gate</t>
        </is>
      </c>
      <c r="C44" s="12" t="n">
        <v>2171</v>
      </c>
      <c r="D44" s="12" t="n">
        <v>2481</v>
      </c>
      <c r="E44" s="12" t="n">
        <v>2551</v>
      </c>
      <c r="F44" s="13" t="n">
        <v>0.997721</v>
      </c>
      <c r="G44" s="19" t="n">
        <v>-0.1124284546197875</v>
      </c>
      <c r="H44" s="20" t="inlineStr"/>
    </row>
    <row r="46">
      <c r="A46" s="25" t="inlineStr">
        <is>
          <t>Robustness: v8 on 8 random topologies → FND 2401 – 2481 (mean 2448).</t>
        </is>
      </c>
    </row>
  </sheetData>
  <mergeCells count="5">
    <mergeCell ref="A46:H46"/>
    <mergeCell ref="A16:H16"/>
    <mergeCell ref="A37:H37"/>
    <mergeCell ref="A5:H5"/>
    <mergeCell ref="A23:H23"/>
  </mergeCell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2026-09-26T04:45:00Z</dcterms:created>
  <dcterms:modified xmlns:dcterms="http://purl.org/dc/terms/" xmlns:xsi="http://www.w3.org/2001/XMLSchema-instance" xsi:type="dcterms:W3CDTF">2026-09-26T04:45:00Z</dcterms:modified>
</cp:coreProperties>
</file>