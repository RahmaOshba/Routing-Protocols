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lt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+0%;-0%"/>
    <numFmt numFmtId="165" formatCode="+0.0%;-0.0%"/>
  </numFmts>
  <fonts count="9">
    <font>
      <name val="Calibri"/>
      <family val="2"/>
      <color theme="1"/>
      <sz val="11"/>
      <scheme val="minor"/>
    </font>
    <font>
      <name val="Arial"/>
      <b val="1"/>
      <color rgb="0014213D"/>
      <sz val="15"/>
    </font>
    <font>
      <name val="Arial"/>
      <i val="1"/>
      <color rgb="005F5E5A"/>
      <sz val="10"/>
    </font>
    <font>
      <name val="Arial"/>
      <b val="1"/>
      <color rgb="0014213D"/>
      <sz val="12"/>
    </font>
    <font>
      <name val="Arial"/>
      <b val="1"/>
      <color rgb="00FFFFFF"/>
      <sz val="10"/>
    </font>
    <font>
      <name val="Arial"/>
      <b val="1"/>
      <sz val="10"/>
    </font>
    <font>
      <name val="Arial"/>
      <sz val="10"/>
    </font>
    <font>
      <name val="Arial"/>
      <i val="1"/>
      <color rgb="005F5E5A"/>
      <sz val="9"/>
    </font>
    <font>
      <name val="Arial"/>
      <b val="1"/>
      <color rgb="0014213D"/>
      <sz val="11"/>
    </font>
  </fonts>
  <fills count="8">
    <fill>
      <patternFill/>
    </fill>
    <fill>
      <patternFill patternType="gray125"/>
    </fill>
    <fill>
      <patternFill patternType="solid">
        <fgColor rgb="00E8EEF7"/>
      </patternFill>
    </fill>
    <fill>
      <patternFill patternType="solid">
        <fgColor rgb="0014213D"/>
      </patternFill>
    </fill>
    <fill>
      <patternFill patternType="solid">
        <fgColor rgb="00FFFFFF"/>
      </patternFill>
    </fill>
    <fill>
      <patternFill patternType="solid">
        <fgColor rgb="00F3F6FB"/>
      </patternFill>
    </fill>
    <fill>
      <patternFill patternType="solid">
        <fgColor rgb="00DCE9FA"/>
      </patternFill>
    </fill>
    <fill>
      <patternFill patternType="solid">
        <fgColor rgb="00FFF7E6"/>
      </patternFill>
    </fill>
  </fills>
  <borders count="2">
    <border>
      <left/>
      <right/>
      <top/>
      <bottom/>
      <diagonal/>
    </border>
    <border>
      <left style="thin">
        <color rgb="00D0CFC6"/>
      </left>
      <right style="thin">
        <color rgb="00D0CFC6"/>
      </right>
      <top style="thin">
        <color rgb="00D0CFC6"/>
      </top>
      <bottom style="thin">
        <color rgb="00D0CFC6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left" vertical="center" wrapText="1"/>
    </xf>
    <xf numFmtId="0" fontId="6" fillId="4" borderId="1" applyAlignment="1" pivotButton="0" quotePrefix="0" xfId="0">
      <alignment horizontal="left" vertical="center" wrapText="1"/>
    </xf>
    <xf numFmtId="3" fontId="6" fillId="4" borderId="1" applyAlignment="1" pivotButton="0" quotePrefix="0" xfId="0">
      <alignment horizontal="center" vertical="center" wrapText="1"/>
    </xf>
    <xf numFmtId="10" fontId="6" fillId="4" borderId="1" applyAlignment="1" pivotButton="0" quotePrefix="0" xfId="0">
      <alignment horizontal="center" vertical="center" wrapText="1"/>
    </xf>
    <xf numFmtId="164" fontId="6" fillId="4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0" fontId="6" fillId="5" borderId="1" applyAlignment="1" pivotButton="0" quotePrefix="0" xfId="0">
      <alignment horizontal="left" vertical="center" wrapText="1"/>
    </xf>
    <xf numFmtId="3" fontId="6" fillId="5" borderId="1" applyAlignment="1" pivotButton="0" quotePrefix="0" xfId="0">
      <alignment horizontal="center" vertical="center" wrapText="1"/>
    </xf>
    <xf numFmtId="10" fontId="6" fillId="5" borderId="1" applyAlignment="1" pivotButton="0" quotePrefix="0" xfId="0">
      <alignment horizontal="center" vertical="center" wrapText="1"/>
    </xf>
    <xf numFmtId="164" fontId="6" fillId="5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 wrapText="1"/>
    </xf>
    <xf numFmtId="3" fontId="5" fillId="6" borderId="1" applyAlignment="1" pivotButton="0" quotePrefix="0" xfId="0">
      <alignment horizontal="center" vertical="center" wrapText="1"/>
    </xf>
    <xf numFmtId="10" fontId="5" fillId="6" borderId="1" applyAlignment="1" pivotButton="0" quotePrefix="0" xfId="0">
      <alignment horizontal="center" vertical="center" wrapText="1"/>
    </xf>
    <xf numFmtId="164" fontId="5" fillId="6" borderId="1" applyAlignment="1" pivotButton="0" quotePrefix="0" xfId="0">
      <alignment horizontal="left" vertical="center" wrapText="1"/>
    </xf>
    <xf numFmtId="0" fontId="6" fillId="5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center" vertical="center" wrapText="1"/>
    </xf>
    <xf numFmtId="0" fontId="7" fillId="0" borderId="0" pivotButton="0" quotePrefix="0" xfId="0"/>
    <xf numFmtId="165" fontId="6" fillId="5" borderId="1" applyAlignment="1" pivotButton="0" quotePrefix="0" xfId="0">
      <alignment horizontal="center" vertical="center" wrapText="1"/>
    </xf>
    <xf numFmtId="165" fontId="6" fillId="4" borderId="1" applyAlignment="1" pivotButton="0" quotePrefix="0" xfId="0">
      <alignment horizontal="center" vertical="center" wrapText="1"/>
    </xf>
    <xf numFmtId="165" fontId="5" fillId="6" borderId="1" applyAlignment="1" pivotButton="0" quotePrefix="0" xfId="0">
      <alignment horizontal="center" vertical="center" wrapText="1"/>
    </xf>
    <xf numFmtId="0" fontId="8" fillId="7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First node death — BS at the centre vs far away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'Results'!C6</f>
            </strRef>
          </tx>
          <spPr>
            <a:ln xmlns:a="http://schemas.openxmlformats.org/drawingml/2006/main">
              <a:prstDash val="solid"/>
            </a:ln>
          </spPr>
          <cat>
            <numRef>
              <f>'Results'!$A$7:$A$14</f>
            </numRef>
          </cat>
          <val>
            <numRef>
              <f>'Results'!$C$7:$C$14</f>
            </numRef>
          </val>
        </ser>
        <ser>
          <idx val="1"/>
          <order val="1"/>
          <tx>
            <strRef>
              <f>'Results'!G6</f>
            </strRef>
          </tx>
          <spPr>
            <a:ln xmlns:a="http://schemas.openxmlformats.org/drawingml/2006/main">
              <a:prstDash val="solid"/>
            </a:ln>
          </spPr>
          <cat>
            <numRef>
              <f>'Results'!$A$7:$A$14</f>
            </numRef>
          </cat>
          <val>
            <numRef>
              <f>'Results'!$G$7:$G$14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FND (rounds)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9</col>
      <colOff>0</colOff>
      <row>3</row>
      <rowOff>0</rowOff>
    </from>
    <ext cx="792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7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34" customWidth="1" min="2" max="2"/>
    <col width="10" customWidth="1" min="3" max="3"/>
    <col width="10" customWidth="1" min="4" max="4"/>
    <col width="10" customWidth="1" min="5" max="5"/>
    <col width="10" customWidth="1" min="6" max="6"/>
    <col width="20" customWidth="1" min="7" max="7"/>
    <col width="70" customWidth="1" min="8" max="8"/>
  </cols>
  <sheetData>
    <row r="1">
      <c r="A1" s="1" t="inlineStr">
        <is>
          <t>Results — all protocols in the same environment</t>
        </is>
      </c>
    </row>
    <row r="2">
      <c r="A2" s="2" t="inlineStr">
        <is>
          <t>ns-3.41, 100 nodes, 100 × 100 m, 0.5 J per node, BS at the centre (50, 50); far BS = (50, −100). FND / HND / LND = round of the first / half / last node death. PDR = delivered ÷ generated readings.</t>
        </is>
      </c>
    </row>
    <row r="5" ht="22" customHeight="1">
      <c r="A5" s="3" t="inlineStr">
        <is>
          <t>1. Final comparison — the best version of every protocol</t>
        </is>
      </c>
    </row>
    <row r="6" ht="30" customHeight="1">
      <c r="A6" s="4" t="inlineStr">
        <is>
          <t>Protocol</t>
        </is>
      </c>
      <c r="B6" s="4" t="inlineStr">
        <is>
          <t>Family</t>
        </is>
      </c>
      <c r="C6" s="4" t="inlineStr">
        <is>
          <t>FND</t>
        </is>
      </c>
      <c r="D6" s="4" t="inlineStr">
        <is>
          <t>HND</t>
        </is>
      </c>
      <c r="E6" s="4" t="inlineStr">
        <is>
          <t>LND</t>
        </is>
      </c>
      <c r="F6" s="4" t="inlineStr">
        <is>
          <t>PDR</t>
        </is>
      </c>
      <c r="G6" s="4" t="inlineStr">
        <is>
          <t>FND far BS</t>
        </is>
      </c>
      <c r="H6" s="4" t="inlineStr">
        <is>
          <t>v8 gain (FND)</t>
        </is>
      </c>
    </row>
    <row r="7" ht="31" customHeight="1">
      <c r="A7" s="5" t="inlineStr">
        <is>
          <t>LEACH</t>
        </is>
      </c>
      <c r="B7" s="6" t="inlineStr">
        <is>
          <t>classic</t>
        </is>
      </c>
      <c r="C7" s="7" t="n">
        <v>1383</v>
      </c>
      <c r="D7" s="7" t="n">
        <v>1586</v>
      </c>
      <c r="E7" s="7" t="n">
        <v>1842</v>
      </c>
      <c r="F7" s="8" t="n">
        <v>0.9939519999999999</v>
      </c>
      <c r="G7" s="7" t="n">
        <v>988</v>
      </c>
      <c r="H7" s="9" t="n">
        <v>0.7686189443239335</v>
      </c>
    </row>
    <row r="8" ht="31" customHeight="1">
      <c r="A8" s="10" t="inlineStr">
        <is>
          <t>HEED</t>
        </is>
      </c>
      <c r="B8" s="11" t="inlineStr">
        <is>
          <t>classic</t>
        </is>
      </c>
      <c r="C8" s="12" t="n">
        <v>658</v>
      </c>
      <c r="D8" s="12" t="n">
        <v>1197</v>
      </c>
      <c r="E8" s="12" t="n">
        <v>1875</v>
      </c>
      <c r="F8" s="13" t="n">
        <v>0.996512</v>
      </c>
      <c r="G8" s="12" t="n">
        <v>350</v>
      </c>
      <c r="H8" s="14" t="n">
        <v>2.717325227963526</v>
      </c>
    </row>
    <row r="9" ht="31" customHeight="1">
      <c r="A9" s="5" t="inlineStr">
        <is>
          <t>PEGASIS</t>
        </is>
      </c>
      <c r="B9" s="6" t="inlineStr">
        <is>
          <t>classic</t>
        </is>
      </c>
      <c r="C9" s="7" t="n">
        <v>1324</v>
      </c>
      <c r="D9" s="7" t="n">
        <v>2352</v>
      </c>
      <c r="E9" s="7" t="n">
        <v>3504</v>
      </c>
      <c r="F9" s="8" t="n">
        <v>0.994186</v>
      </c>
      <c r="G9" s="7" t="n">
        <v>1374</v>
      </c>
      <c r="H9" s="9" t="n">
        <v>0.8474320241691844</v>
      </c>
    </row>
    <row r="10" ht="31" customHeight="1">
      <c r="A10" s="10" t="inlineStr">
        <is>
          <t>SH-LEACH+</t>
        </is>
      </c>
      <c r="B10" s="11" t="inlineStr">
        <is>
          <t>hybrid, after our fix</t>
        </is>
      </c>
      <c r="C10" s="12" t="n">
        <v>1480</v>
      </c>
      <c r="D10" s="12" t="n">
        <v>1542</v>
      </c>
      <c r="E10" s="12" t="n">
        <v>1558</v>
      </c>
      <c r="F10" s="13" t="n">
        <v>0.992063</v>
      </c>
      <c r="G10" s="12" t="n">
        <v>1388</v>
      </c>
      <c r="H10" s="14" t="n">
        <v>0.6527027027027028</v>
      </c>
    </row>
    <row r="11" ht="31" customHeight="1">
      <c r="A11" s="5" t="inlineStr">
        <is>
          <t>H-LEACH+</t>
        </is>
      </c>
      <c r="B11" s="6" t="inlineStr">
        <is>
          <t>hybrid, after our fix</t>
        </is>
      </c>
      <c r="C11" s="7" t="n">
        <v>1473</v>
      </c>
      <c r="D11" s="7" t="n">
        <v>1509</v>
      </c>
      <c r="E11" s="7" t="n">
        <v>1525</v>
      </c>
      <c r="F11" s="8" t="n">
        <v>0.993617</v>
      </c>
      <c r="G11" s="7" t="n">
        <v>1219</v>
      </c>
      <c r="H11" s="9" t="n">
        <v>0.6605566870332655</v>
      </c>
    </row>
    <row r="12" ht="31" customHeight="1">
      <c r="A12" s="10" t="inlineStr">
        <is>
          <t>EECH-HEED+</t>
        </is>
      </c>
      <c r="B12" s="11" t="inlineStr">
        <is>
          <t>recent hybrid, after our fix</t>
        </is>
      </c>
      <c r="C12" s="12" t="n">
        <v>1335</v>
      </c>
      <c r="D12" s="12" t="n">
        <v>1384</v>
      </c>
      <c r="E12" s="12" t="n">
        <v>1766</v>
      </c>
      <c r="F12" s="13" t="n">
        <v>0.996207</v>
      </c>
      <c r="G12" s="12" t="n">
        <v>1410</v>
      </c>
      <c r="H12" s="14" t="n">
        <v>0.8322097378277153</v>
      </c>
    </row>
    <row r="13" ht="31" customHeight="1">
      <c r="A13" s="15" t="inlineStr">
        <is>
          <t>v8 (main)</t>
        </is>
      </c>
      <c r="B13" s="15" t="inlineStr">
        <is>
          <t>proposed</t>
        </is>
      </c>
      <c r="C13" s="16" t="n">
        <v>2446</v>
      </c>
      <c r="D13" s="16" t="n">
        <v>2536</v>
      </c>
      <c r="E13" s="16" t="n">
        <v>2566</v>
      </c>
      <c r="F13" s="17" t="n">
        <v>0.997208</v>
      </c>
      <c r="G13" s="16" t="n">
        <v>1406</v>
      </c>
      <c r="H13" s="18" t="inlineStr">
        <is>
          <t>—</t>
        </is>
      </c>
    </row>
    <row r="14" ht="31" customHeight="1">
      <c r="A14" s="15" t="inlineStr">
        <is>
          <t>v8-Chain (far BS)</t>
        </is>
      </c>
      <c r="B14" s="15" t="inlineStr">
        <is>
          <t>proposed</t>
        </is>
      </c>
      <c r="C14" s="16" t="n">
        <v>2446</v>
      </c>
      <c r="D14" s="16" t="n">
        <v>2536</v>
      </c>
      <c r="E14" s="16" t="n">
        <v>2566</v>
      </c>
      <c r="F14" s="17" t="n">
        <v>0.9971680000000001</v>
      </c>
      <c r="G14" s="16" t="n">
        <v>1626</v>
      </c>
      <c r="H14" s="18" t="inlineStr">
        <is>
          <t>—</t>
        </is>
      </c>
    </row>
    <row r="16" ht="22" customHeight="1">
      <c r="A16" s="3" t="inlineStr">
        <is>
          <t>2. Classic protocols — paper → our code → unified environment → far BS</t>
        </is>
      </c>
    </row>
    <row r="17" ht="30" customHeight="1">
      <c r="A17" s="4" t="inlineStr">
        <is>
          <t>Protocol</t>
        </is>
      </c>
      <c r="B17" s="4" t="inlineStr">
        <is>
          <t>Version</t>
        </is>
      </c>
      <c r="C17" s="4" t="inlineStr">
        <is>
          <t>FND</t>
        </is>
      </c>
      <c r="D17" s="4" t="inlineStr">
        <is>
          <t>HND</t>
        </is>
      </c>
      <c r="E17" s="4" t="inlineStr">
        <is>
          <t>LND</t>
        </is>
      </c>
      <c r="F17" s="4" t="inlineStr">
        <is>
          <t>PDR</t>
        </is>
      </c>
      <c r="G17" s="4" t="inlineStr">
        <is>
          <t>Change (FND*)</t>
        </is>
      </c>
      <c r="H17" s="4" t="inlineStr">
        <is>
          <t>What changed and why</t>
        </is>
      </c>
    </row>
    <row r="18" ht="18" customHeight="1">
      <c r="A18" s="10" t="inlineStr">
        <is>
          <t>LEACH</t>
        </is>
      </c>
      <c r="B18" s="11" t="inlineStr">
        <is>
          <t>Paper (published)</t>
        </is>
      </c>
      <c r="C18" s="12" t="n">
        <v>932</v>
      </c>
      <c r="D18" s="12" t="inlineStr">
        <is>
          <t>—</t>
        </is>
      </c>
      <c r="E18" s="12" t="n">
        <v>1312</v>
      </c>
      <c r="F18" s="13" t="inlineStr">
        <is>
          <t>—</t>
        </is>
      </c>
      <c r="G18" s="19" t="inlineStr">
        <is>
          <t>—</t>
        </is>
      </c>
      <c r="H18" s="11" t="inlineStr">
        <is>
          <t>Table 2 of the paper (0.5 J)</t>
        </is>
      </c>
    </row>
    <row r="19" ht="31" customHeight="1">
      <c r="A19" s="5" t="inlineStr"/>
      <c r="B19" s="6" t="inlineStr">
        <is>
          <t>Our ORIGINAL code (paper settings)</t>
        </is>
      </c>
      <c r="C19" s="7" t="n">
        <v>1035</v>
      </c>
      <c r="D19" s="7" t="n">
        <v>1152</v>
      </c>
      <c r="E19" s="7" t="n">
        <v>1327</v>
      </c>
      <c r="F19" s="8" t="n">
        <v>0.9862109999999999</v>
      </c>
      <c r="G19" s="20" t="inlineStr">
        <is>
          <t>+11.1% vs paper</t>
        </is>
      </c>
      <c r="H19" s="6" t="inlineStr">
        <is>
          <t>Paper settings: 50 × 50 m, BS far at (25, −100), one amplifier (100 pJ). Close to the paper → our code is correct.</t>
        </is>
      </c>
    </row>
    <row r="20" ht="44.5" customHeight="1">
      <c r="A20" s="10" t="inlineStr"/>
      <c r="B20" s="11" t="inlineStr">
        <is>
          <t>Our EDITED code (unified environment)</t>
        </is>
      </c>
      <c r="C20" s="12" t="n">
        <v>1383</v>
      </c>
      <c r="D20" s="12" t="n">
        <v>1586</v>
      </c>
      <c r="E20" s="12" t="n">
        <v>1842</v>
      </c>
      <c r="F20" s="13" t="n">
        <v>0.9939519999999999</v>
      </c>
      <c r="G20" s="19" t="inlineStr">
        <is>
          <t>+33.6% vs ORIGINAL</t>
        </is>
      </c>
      <c r="H20" s="11" t="inlineStr">
        <is>
          <t>Same algorithm, unified environment: amplifier 10× cheaper (two-slope, 10 pJ) and BS at the centre (≤ 70 m instead of 100–150 m); set-up messages are now charged.</t>
        </is>
      </c>
    </row>
    <row r="21" ht="31" customHeight="1">
      <c r="A21" s="5" t="inlineStr"/>
      <c r="B21" s="6" t="inlineStr">
        <is>
          <t>Far BS (50, −100)</t>
        </is>
      </c>
      <c r="C21" s="7" t="n">
        <v>988</v>
      </c>
      <c r="D21" s="7" t="n">
        <v>1230</v>
      </c>
      <c r="E21" s="7" t="n">
        <v>1652</v>
      </c>
      <c r="F21" s="8" t="n">
        <v>0.994295</v>
      </c>
      <c r="G21" s="20" t="inlineStr">
        <is>
          <t>-28.6% vs centre</t>
        </is>
      </c>
      <c r="H21" s="6" t="inlineStr">
        <is>
          <t>BS at (50, −100): every CH sends far (cost d⁴).</t>
        </is>
      </c>
    </row>
    <row r="22" ht="18" customHeight="1">
      <c r="A22" s="10" t="inlineStr">
        <is>
          <t>HEED</t>
        </is>
      </c>
      <c r="B22" s="11" t="inlineStr">
        <is>
          <t>Paper (published)</t>
        </is>
      </c>
      <c r="C22" s="12" t="inlineStr">
        <is>
          <t>—</t>
        </is>
      </c>
      <c r="D22" s="12" t="inlineStr">
        <is>
          <t>—</t>
        </is>
      </c>
      <c r="E22" s="12" t="inlineStr">
        <is>
          <t>—</t>
        </is>
      </c>
      <c r="F22" s="13" t="inlineStr">
        <is>
          <t>—</t>
        </is>
      </c>
      <c r="G22" s="19" t="inlineStr">
        <is>
          <t>—</t>
        </is>
      </c>
      <c r="H22" s="11" t="inlineStr">
        <is>
          <t>graphs only</t>
        </is>
      </c>
    </row>
    <row r="23" ht="31" customHeight="1">
      <c r="A23" s="5" t="inlineStr"/>
      <c r="B23" s="6" t="inlineStr">
        <is>
          <t>Our ORIGINAL code (paper settings)</t>
        </is>
      </c>
      <c r="C23" s="7" t="n">
        <v>734</v>
      </c>
      <c r="D23" s="7" t="n">
        <v>1384</v>
      </c>
      <c r="E23" s="7" t="n">
        <v>2259</v>
      </c>
      <c r="F23" s="8" t="n">
        <v>0.997956</v>
      </c>
      <c r="G23" s="20" t="inlineStr">
        <is>
          <t>—</t>
        </is>
      </c>
      <c r="H23" s="6" t="inlineStr">
        <is>
          <t>Paper settings: 500 nodes, 2 J, one election then 5 data frames. The paper gives graphs only; the behaviour matches.</t>
        </is>
      </c>
    </row>
    <row r="24" ht="31" customHeight="1">
      <c r="A24" s="10" t="inlineStr"/>
      <c r="B24" s="11" t="inlineStr">
        <is>
          <t>Our EDITED code (unified environment)</t>
        </is>
      </c>
      <c r="C24" s="12" t="n">
        <v>658</v>
      </c>
      <c r="D24" s="12" t="n">
        <v>1197</v>
      </c>
      <c r="E24" s="12" t="n">
        <v>1875</v>
      </c>
      <c r="F24" s="13" t="n">
        <v>0.996512</v>
      </c>
      <c r="G24" s="19" t="inlineStr">
        <is>
          <t>-10.4% vs ORIGINAL</t>
        </is>
      </c>
      <c r="H24" s="11" t="inlineStr">
        <is>
          <t>Unified: one election per data packet; the election messages are heard by ~20 neighbours every round; 0.5 J instead of 2 J.</t>
        </is>
      </c>
    </row>
    <row r="25" ht="31" customHeight="1">
      <c r="A25" s="5" t="inlineStr"/>
      <c r="B25" s="6" t="inlineStr">
        <is>
          <t>Far BS (50, −100)</t>
        </is>
      </c>
      <c r="C25" s="7" t="n">
        <v>350</v>
      </c>
      <c r="D25" s="7" t="n">
        <v>765</v>
      </c>
      <c r="E25" s="7" t="n">
        <v>1375</v>
      </c>
      <c r="F25" s="8" t="n">
        <v>0.995336</v>
      </c>
      <c r="G25" s="20" t="inlineStr">
        <is>
          <t>-46.8% vs centre</t>
        </is>
      </c>
      <c r="H25" s="6" t="inlineStr">
        <is>
          <t>BS far: every CH sends far (cost d⁴).</t>
        </is>
      </c>
    </row>
    <row r="26" ht="18" customHeight="1">
      <c r="A26" s="10" t="inlineStr">
        <is>
          <t>PEGASIS</t>
        </is>
      </c>
      <c r="B26" s="11" t="inlineStr">
        <is>
          <t>Paper (published)</t>
        </is>
      </c>
      <c r="C26" s="12" t="n">
        <v>1578</v>
      </c>
      <c r="D26" s="12" t="n">
        <v>2082</v>
      </c>
      <c r="E26" s="12" t="n">
        <v>2192</v>
      </c>
      <c r="F26" s="13" t="inlineStr">
        <is>
          <t>—</t>
        </is>
      </c>
      <c r="G26" s="19" t="inlineStr">
        <is>
          <t>—</t>
        </is>
      </c>
      <c r="H26" s="11" t="inlineStr">
        <is>
          <t>Table 1 of the paper (50 × 50 m)</t>
        </is>
      </c>
    </row>
    <row r="27" ht="31" customHeight="1">
      <c r="A27" s="5" t="inlineStr"/>
      <c r="B27" s="6" t="inlineStr">
        <is>
          <t>Our ORIGINAL code (paper settings)</t>
        </is>
      </c>
      <c r="C27" s="7" t="n">
        <v>1616</v>
      </c>
      <c r="D27" s="7" t="n">
        <v>2017</v>
      </c>
      <c r="E27" s="7" t="n">
        <v>2186</v>
      </c>
      <c r="F27" s="8" t="n">
        <v>0.988595</v>
      </c>
      <c r="G27" s="20" t="inlineStr">
        <is>
          <t>+2.4% vs paper</t>
        </is>
      </c>
      <c r="H27" s="6" t="inlineStr">
        <is>
          <t>Paper settings: 50 × 50 m, BS at (25, 150). All values within 3.5 % of the paper.</t>
        </is>
      </c>
    </row>
    <row r="28" ht="44.5" customHeight="1">
      <c r="A28" s="10" t="inlineStr"/>
      <c r="B28" s="11" t="inlineStr">
        <is>
          <t>Our EDITED code (unified environment)</t>
        </is>
      </c>
      <c r="C28" s="12" t="n">
        <v>1324</v>
      </c>
      <c r="D28" s="12" t="n">
        <v>2352</v>
      </c>
      <c r="E28" s="12" t="n">
        <v>3504</v>
      </c>
      <c r="F28" s="13" t="n">
        <v>0.994186</v>
      </c>
      <c r="G28" s="19" t="inlineStr">
        <is>
          <t>-18.1% vs ORIGINAL</t>
        </is>
      </c>
      <c r="H28" s="11" t="inlineStr">
        <is>
          <t>Unified: field 4× bigger → one chain link of 91.5 m (&gt; d0, cost d⁴) kills node 73 first (FND ↓); cheap radio + central BS → the last nodes live long (LND ↑).</t>
        </is>
      </c>
    </row>
    <row r="29" ht="31" customHeight="1">
      <c r="A29" s="5" t="inlineStr"/>
      <c r="B29" s="6" t="inlineStr">
        <is>
          <t>Far BS (50, −100)</t>
        </is>
      </c>
      <c r="C29" s="7" t="n">
        <v>1374</v>
      </c>
      <c r="D29" s="7" t="n">
        <v>2176</v>
      </c>
      <c r="E29" s="7" t="n">
        <v>2713</v>
      </c>
      <c r="F29" s="8" t="n">
        <v>0.990811</v>
      </c>
      <c r="G29" s="20" t="inlineStr">
        <is>
          <t>+3.8% vs centre</t>
        </is>
      </c>
      <c r="H29" s="6" t="inlineStr">
        <is>
          <t>BS far: only the leader talks to the BS, so the first death hardly changes.</t>
        </is>
      </c>
    </row>
    <row r="31" ht="22" customHeight="1">
      <c r="A31" s="3" t="inlineStr">
        <is>
          <t>3. The three hybrids — paper → our code → unified → OUR FIX → far BS</t>
        </is>
      </c>
    </row>
    <row r="32" ht="30" customHeight="1">
      <c r="A32" s="4" t="inlineStr">
        <is>
          <t>Protocol</t>
        </is>
      </c>
      <c r="B32" s="4" t="inlineStr">
        <is>
          <t>Version</t>
        </is>
      </c>
      <c r="C32" s="4" t="inlineStr">
        <is>
          <t>FND</t>
        </is>
      </c>
      <c r="D32" s="4" t="inlineStr">
        <is>
          <t>HND</t>
        </is>
      </c>
      <c r="E32" s="4" t="inlineStr">
        <is>
          <t>LND</t>
        </is>
      </c>
      <c r="F32" s="4" t="inlineStr">
        <is>
          <t>PDR</t>
        </is>
      </c>
      <c r="G32" s="4" t="inlineStr">
        <is>
          <t>Change (FND*)</t>
        </is>
      </c>
      <c r="H32" s="4" t="inlineStr">
        <is>
          <t>What changed / what we improved</t>
        </is>
      </c>
    </row>
    <row r="33" ht="18" customHeight="1">
      <c r="A33" s="5" t="inlineStr">
        <is>
          <t>SH-LEACH</t>
        </is>
      </c>
      <c r="B33" s="6" t="inlineStr">
        <is>
          <t>Paper (published)</t>
        </is>
      </c>
      <c r="C33" s="7" t="inlineStr">
        <is>
          <t>—</t>
        </is>
      </c>
      <c r="D33" s="7" t="inlineStr">
        <is>
          <t>—</t>
        </is>
      </c>
      <c r="E33" s="7" t="inlineStr">
        <is>
          <t>—</t>
        </is>
      </c>
      <c r="F33" s="8" t="inlineStr">
        <is>
          <t>—</t>
        </is>
      </c>
      <c r="G33" s="20" t="inlineStr">
        <is>
          <t>—</t>
        </is>
      </c>
      <c r="H33" s="6" t="inlineStr">
        <is>
          <t>graphs only</t>
        </is>
      </c>
    </row>
    <row r="34" ht="31" customHeight="1">
      <c r="A34" s="10" t="inlineStr"/>
      <c r="B34" s="11" t="inlineStr">
        <is>
          <t>Our ORIGINAL code (paper settings)</t>
        </is>
      </c>
      <c r="C34" s="12" t="n">
        <v>484</v>
      </c>
      <c r="D34" s="12" t="n">
        <v>583</v>
      </c>
      <c r="E34" s="12" t="n">
        <v>689</v>
      </c>
      <c r="F34" s="13" t="n">
        <v>0.9965850000000001</v>
      </c>
      <c r="G34" s="19" t="inlineStr">
        <is>
          <t>—</t>
        </is>
      </c>
      <c r="H34" s="11" t="inlineStr">
        <is>
          <t>Paper settings: 100 × 100 m, one amplifier (100 pJ), packet size not given (2000 bits assumed). Paper: graphs only.</t>
        </is>
      </c>
    </row>
    <row r="35" ht="31" customHeight="1">
      <c r="A35" s="5" t="inlineStr"/>
      <c r="B35" s="6" t="inlineStr">
        <is>
          <t>Our EDITED code (unified environment)</t>
        </is>
      </c>
      <c r="C35" s="7" t="n">
        <v>647</v>
      </c>
      <c r="D35" s="7" t="n">
        <v>702</v>
      </c>
      <c r="E35" s="7" t="n">
        <v>721</v>
      </c>
      <c r="F35" s="8" t="n">
        <v>0.9858440000000001</v>
      </c>
      <c r="G35" s="20" t="inlineStr">
        <is>
          <t>+33.7% vs ORIGINAL</t>
        </is>
      </c>
      <c r="H35" s="6" t="inlineStr">
        <is>
          <t>Unified: cheaper radio (10 vs 100 pJ). The paper's flaw remains: the round counter r never resets → up to 100 CHs per round.</t>
        </is>
      </c>
    </row>
    <row r="36" ht="31" customHeight="1">
      <c r="A36" s="15" t="inlineStr"/>
      <c r="B36" s="15" t="inlineStr">
        <is>
          <t>IMPROVED (our fix)</t>
        </is>
      </c>
      <c r="C36" s="16" t="n">
        <v>1480</v>
      </c>
      <c r="D36" s="16" t="n">
        <v>1542</v>
      </c>
      <c r="E36" s="16" t="n">
        <v>1558</v>
      </c>
      <c r="F36" s="17" t="n">
        <v>0.992063</v>
      </c>
      <c r="G36" s="21" t="inlineStr">
        <is>
          <t>+128.7% vs EDITED</t>
        </is>
      </c>
      <c r="H36" s="15" t="inlineStr">
        <is>
          <t>OUR FIX: the counter restarts every 1/C_prob = 10 rounds (r → ((r − 1) mod 10) + 1) → CHs stay few instead of reaching 100.</t>
        </is>
      </c>
    </row>
    <row r="37" ht="31" customHeight="1">
      <c r="A37" s="5" t="inlineStr"/>
      <c r="B37" s="6" t="inlineStr">
        <is>
          <t>Far BS (50, −100)</t>
        </is>
      </c>
      <c r="C37" s="7" t="n">
        <v>1388</v>
      </c>
      <c r="D37" s="7" t="n">
        <v>1435</v>
      </c>
      <c r="E37" s="7" t="n">
        <v>1455</v>
      </c>
      <c r="F37" s="8" t="n">
        <v>0.988878</v>
      </c>
      <c r="G37" s="20" t="inlineStr">
        <is>
          <t>-6.2% vs centre</t>
        </is>
      </c>
      <c r="H37" s="6" t="inlineStr">
        <is>
          <t>BS far, after the fix.</t>
        </is>
      </c>
    </row>
    <row r="38" ht="18" customHeight="1">
      <c r="A38" s="10" t="inlineStr">
        <is>
          <t>H-LEACH</t>
        </is>
      </c>
      <c r="B38" s="11" t="inlineStr">
        <is>
          <t>Paper (published)</t>
        </is>
      </c>
      <c r="C38" s="12" t="inlineStr">
        <is>
          <t>—</t>
        </is>
      </c>
      <c r="D38" s="12" t="inlineStr">
        <is>
          <t>—</t>
        </is>
      </c>
      <c r="E38" s="12" t="n">
        <v>4312</v>
      </c>
      <c r="F38" s="13" t="inlineStr">
        <is>
          <t>—</t>
        </is>
      </c>
      <c r="G38" s="19" t="inlineStr">
        <is>
          <t>—</t>
        </is>
      </c>
      <c r="H38" s="11" t="inlineStr">
        <is>
          <t>Fig. 2 of the paper (≈ 4312)</t>
        </is>
      </c>
    </row>
    <row r="39" ht="44.5" customHeight="1">
      <c r="A39" s="5" t="inlineStr"/>
      <c r="B39" s="6" t="inlineStr">
        <is>
          <t>Our ORIGINAL code (paper settings)</t>
        </is>
      </c>
      <c r="C39" s="7" t="n">
        <v>1078</v>
      </c>
      <c r="D39" s="7" t="n">
        <v>1157</v>
      </c>
      <c r="E39" s="7" t="n">
        <v>1207</v>
      </c>
      <c r="F39" s="8" t="n">
        <v>0.950353</v>
      </c>
      <c r="G39" s="20" t="inlineStr">
        <is>
          <t>-72.0% vs paper</t>
        </is>
      </c>
      <c r="H39" s="6" t="inlineStr">
        <is>
          <t>Paper settings: 4000-bit packets. The paper's LND ≈ 4312 is not reachable (the 50 J are used up before round 2500). A fallback CH was added for the deadlock.</t>
        </is>
      </c>
    </row>
    <row r="40" ht="31" customHeight="1">
      <c r="A40" s="10" t="inlineStr"/>
      <c r="B40" s="11" t="inlineStr">
        <is>
          <t>Our EDITED code (unified environment)</t>
        </is>
      </c>
      <c r="C40" s="12" t="n">
        <v>1384</v>
      </c>
      <c r="D40" s="12" t="n">
        <v>1419</v>
      </c>
      <c r="E40" s="12" t="n">
        <v>1434</v>
      </c>
      <c r="F40" s="13" t="n">
        <v>0.992968</v>
      </c>
      <c r="G40" s="19" t="inlineStr">
        <is>
          <t>+28.4% vs ORIGINAL</t>
        </is>
      </c>
      <c r="H40" s="11" t="inlineStr">
        <is>
          <t>Unified: 2000-bit packets. The paper's flaws remain: "E &gt; average" → no CH in round 1 (deadlock); no G-set → bursts of up to 59 CHs.</t>
        </is>
      </c>
    </row>
    <row r="41" ht="31" customHeight="1">
      <c r="A41" s="15" t="inlineStr"/>
      <c r="B41" s="15" t="inlineStr">
        <is>
          <t>IMPROVED (our fix)</t>
        </is>
      </c>
      <c r="C41" s="16" t="n">
        <v>1473</v>
      </c>
      <c r="D41" s="16" t="n">
        <v>1509</v>
      </c>
      <c r="E41" s="16" t="n">
        <v>1525</v>
      </c>
      <c r="F41" s="17" t="n">
        <v>0.993617</v>
      </c>
      <c r="G41" s="21" t="inlineStr">
        <is>
          <t>+6.4% vs EDITED</t>
        </is>
      </c>
      <c r="H41" s="15" t="inlineStr">
        <is>
          <t>OUR FIX: "E &gt; average" → "E ≥ average" + LEACH G-set restored → no deadlock, no CH bursts (8.6 → 5.3 CHs per round).</t>
        </is>
      </c>
    </row>
    <row r="42" ht="31" customHeight="1">
      <c r="A42" s="10" t="inlineStr"/>
      <c r="B42" s="11" t="inlineStr">
        <is>
          <t>Far BS (50, −100)</t>
        </is>
      </c>
      <c r="C42" s="12" t="n">
        <v>1219</v>
      </c>
      <c r="D42" s="12" t="n">
        <v>1262</v>
      </c>
      <c r="E42" s="12" t="n">
        <v>1278</v>
      </c>
      <c r="F42" s="13" t="n">
        <v>0.991184</v>
      </c>
      <c r="G42" s="19" t="inlineStr">
        <is>
          <t>-17.2% vs centre</t>
        </is>
      </c>
      <c r="H42" s="11" t="inlineStr">
        <is>
          <t>BS far, after the fix.</t>
        </is>
      </c>
    </row>
    <row r="43" ht="18" customHeight="1">
      <c r="A43" s="5" t="inlineStr">
        <is>
          <t>EECH-HEED</t>
        </is>
      </c>
      <c r="B43" s="6" t="inlineStr">
        <is>
          <t>Paper (published)</t>
        </is>
      </c>
      <c r="C43" s="7" t="n">
        <v>1250</v>
      </c>
      <c r="D43" s="7" t="n">
        <v>1650</v>
      </c>
      <c r="E43" s="7" t="n">
        <v>2200</v>
      </c>
      <c r="F43" s="8" t="n">
        <v>0.95</v>
      </c>
      <c r="G43" s="20" t="inlineStr">
        <is>
          <t>—</t>
        </is>
      </c>
      <c r="H43" s="6" t="inlineStr">
        <is>
          <t>Table 7 of the paper</t>
        </is>
      </c>
    </row>
    <row r="44" ht="31" customHeight="1">
      <c r="A44" s="10" t="inlineStr"/>
      <c r="B44" s="11" t="inlineStr">
        <is>
          <t>Our ORIGINAL code (paper settings)</t>
        </is>
      </c>
      <c r="C44" s="12" t="n">
        <v>1121</v>
      </c>
      <c r="D44" s="12" t="n">
        <v>1954</v>
      </c>
      <c r="E44" s="12" t="n">
        <v>3783</v>
      </c>
      <c r="F44" s="13" t="n">
        <v>0.997831</v>
      </c>
      <c r="G44" s="19" t="inlineStr">
        <is>
          <t>-10.3% vs paper</t>
        </is>
      </c>
      <c r="H44" s="11" t="inlineStr">
        <is>
          <t>Paper scenario: adaptive sensing ON, heterogeneous energy (≈ 56 J), 4000-bit packets.</t>
        </is>
      </c>
    </row>
    <row r="45" ht="44.5" customHeight="1">
      <c r="A45" s="5" t="inlineStr"/>
      <c r="B45" s="6" t="inlineStr">
        <is>
          <t>Our EDITED code (unified environment)</t>
        </is>
      </c>
      <c r="C45" s="7" t="n">
        <v>1277</v>
      </c>
      <c r="D45" s="7" t="n">
        <v>1384</v>
      </c>
      <c r="E45" s="7" t="n">
        <v>1543</v>
      </c>
      <c r="F45" s="8" t="n">
        <v>0.994936</v>
      </c>
      <c r="G45" s="20" t="inlineStr">
        <is>
          <t>+13.9% vs ORIGINAL</t>
        </is>
      </c>
      <c r="H45" s="6" t="inlineStr">
        <is>
          <t>Unified: sensing OFF (every node sends every round), 50 J. The paper's flaw remains: zone 2 P ≈ 1 → the same border nodes are CH every other round.</t>
        </is>
      </c>
    </row>
    <row r="46" ht="31" customHeight="1">
      <c r="A46" s="15" t="inlineStr"/>
      <c r="B46" s="15" t="inlineStr">
        <is>
          <t>IMPROVED (our fix)</t>
        </is>
      </c>
      <c r="C46" s="16" t="n">
        <v>1335</v>
      </c>
      <c r="D46" s="16" t="n">
        <v>1384</v>
      </c>
      <c r="E46" s="16" t="n">
        <v>1766</v>
      </c>
      <c r="F46" s="17" t="n">
        <v>0.996207</v>
      </c>
      <c r="G46" s="21" t="inlineStr">
        <is>
          <t>+4.5% vs EDITED</t>
        </is>
      </c>
      <c r="H46" s="15" t="inlineStr">
        <is>
          <t>OUR FIX: zone-2 rotation fixed at the paper's 10 % + G-set; energy × degree kept as a weight (7.6 → 2.9 CHs per round).</t>
        </is>
      </c>
    </row>
    <row r="47" ht="31" customHeight="1">
      <c r="A47" s="5" t="inlineStr"/>
      <c r="B47" s="6" t="inlineStr">
        <is>
          <t>Far BS (50, −100)</t>
        </is>
      </c>
      <c r="C47" s="7" t="n">
        <v>1410</v>
      </c>
      <c r="D47" s="7" t="n">
        <v>1437</v>
      </c>
      <c r="E47" s="7" t="n">
        <v>1457</v>
      </c>
      <c r="F47" s="8" t="n">
        <v>0.991819</v>
      </c>
      <c r="G47" s="20" t="inlineStr">
        <is>
          <t>+5.6% vs centre</t>
        </is>
      </c>
      <c r="H47" s="6" t="inlineStr">
        <is>
          <t>BS far, after the fix.</t>
        </is>
      </c>
    </row>
    <row r="48">
      <c r="A48" s="22" t="inlineStr">
        <is>
          <t>* When the paper gives no FND, the ORIGINAL row compares LND. ORIGINAL → EDITED = environment only; EDITED → IMPROVED = our one fix only.</t>
        </is>
      </c>
    </row>
    <row r="50" ht="22" customHeight="1">
      <c r="A50" s="3" t="inlineStr">
        <is>
          <t>4. Our protocol — one change per version (BS at the centre)</t>
        </is>
      </c>
    </row>
    <row r="51" ht="30" customHeight="1">
      <c r="A51" s="4" t="inlineStr">
        <is>
          <t>Version</t>
        </is>
      </c>
      <c r="B51" s="4" t="inlineStr">
        <is>
          <t>What changed</t>
        </is>
      </c>
      <c r="C51" s="4" t="inlineStr">
        <is>
          <t>FND</t>
        </is>
      </c>
      <c r="D51" s="4" t="inlineStr">
        <is>
          <t>HND</t>
        </is>
      </c>
      <c r="E51" s="4" t="inlineStr">
        <is>
          <t>LND</t>
        </is>
      </c>
      <c r="F51" s="4" t="inlineStr">
        <is>
          <t>PDR</t>
        </is>
      </c>
      <c r="G51" s="4" t="inlineStr">
        <is>
          <t>FND change</t>
        </is>
      </c>
      <c r="H51" s="4" t="inlineStr"/>
    </row>
    <row r="52" ht="31" customHeight="1">
      <c r="A52" s="10" t="inlineStr">
        <is>
          <t>v1</t>
        </is>
      </c>
      <c r="B52" s="11" t="inlineStr">
        <is>
          <t>HEED election + LEACH join</t>
        </is>
      </c>
      <c r="C52" s="12" t="n">
        <v>320</v>
      </c>
      <c r="D52" s="12" t="n">
        <v>529</v>
      </c>
      <c r="E52" s="12" t="n">
        <v>1218</v>
      </c>
      <c r="F52" s="13" t="n">
        <v>0.997623</v>
      </c>
      <c r="G52" s="23" t="inlineStr">
        <is>
          <t>—</t>
        </is>
      </c>
      <c r="H52" s="11" t="inlineStr"/>
    </row>
    <row r="53" ht="31" customHeight="1">
      <c r="A53" s="5" t="inlineStr">
        <is>
          <t>v2</t>
        </is>
      </c>
      <c r="B53" s="6" t="inlineStr">
        <is>
          <t>+ fairness penalty</t>
        </is>
      </c>
      <c r="C53" s="7" t="n">
        <v>334</v>
      </c>
      <c r="D53" s="7" t="n">
        <v>528</v>
      </c>
      <c r="E53" s="7" t="n">
        <v>1285</v>
      </c>
      <c r="F53" s="8" t="n">
        <v>0.997665</v>
      </c>
      <c r="G53" s="24" t="n">
        <v>0.04374999999999996</v>
      </c>
      <c r="H53" s="6" t="inlineStr"/>
    </row>
    <row r="54" ht="31" customHeight="1">
      <c r="A54" s="10" t="inlineStr">
        <is>
          <t>v3</t>
        </is>
      </c>
      <c r="B54" s="11" t="inlineStr">
        <is>
          <t>single-pass score + 5-round reuse</t>
        </is>
      </c>
      <c r="C54" s="12" t="n">
        <v>1645</v>
      </c>
      <c r="D54" s="12" t="n">
        <v>2001</v>
      </c>
      <c r="E54" s="12" t="n">
        <v>2203</v>
      </c>
      <c r="F54" s="13" t="n">
        <v>0.983494</v>
      </c>
      <c r="G54" s="23" t="n">
        <v>3.925149700598802</v>
      </c>
      <c r="H54" s="11" t="inlineStr"/>
    </row>
    <row r="55" ht="31" customHeight="1">
      <c r="A55" s="5" t="inlineStr">
        <is>
          <t>v4</t>
        </is>
      </c>
      <c r="B55" s="6" t="inlineStr">
        <is>
          <t>reuse 15 rounds</t>
        </is>
      </c>
      <c r="C55" s="7" t="n">
        <v>1513</v>
      </c>
      <c r="D55" s="7" t="n">
        <v>2158</v>
      </c>
      <c r="E55" s="7" t="n">
        <v>2416</v>
      </c>
      <c r="F55" s="8" t="n">
        <v>0.970722</v>
      </c>
      <c r="G55" s="24" t="n">
        <v>-0.08024316109422491</v>
      </c>
      <c r="H55" s="6" t="inlineStr"/>
    </row>
    <row r="56" ht="31" customHeight="1">
      <c r="A56" s="10" t="inlineStr">
        <is>
          <t>v5</t>
        </is>
      </c>
      <c r="B56" s="11" t="inlineStr">
        <is>
          <t>+ backup CH (interval 15)</t>
        </is>
      </c>
      <c r="C56" s="12" t="n">
        <v>1513</v>
      </c>
      <c r="D56" s="12" t="n">
        <v>2116</v>
      </c>
      <c r="E56" s="12" t="n">
        <v>2356</v>
      </c>
      <c r="F56" s="13" t="n">
        <v>0.984351</v>
      </c>
      <c r="G56" s="23" t="n">
        <v>0</v>
      </c>
      <c r="H56" s="11" t="inlineStr"/>
    </row>
    <row r="57" ht="31" customHeight="1">
      <c r="A57" s="5" t="inlineStr">
        <is>
          <t>v5b</t>
        </is>
      </c>
      <c r="B57" s="6" t="inlineStr">
        <is>
          <t>backup + repair, interval 5, energy check</t>
        </is>
      </c>
      <c r="C57" s="7" t="n">
        <v>1645</v>
      </c>
      <c r="D57" s="7" t="n">
        <v>1996</v>
      </c>
      <c r="E57" s="7" t="n">
        <v>2116</v>
      </c>
      <c r="F57" s="8" t="n">
        <v>0.986194</v>
      </c>
      <c r="G57" s="24" t="n">
        <v>0.08724388631857227</v>
      </c>
      <c r="H57" s="6" t="inlineStr"/>
    </row>
    <row r="58" ht="31" customHeight="1">
      <c r="A58" s="10" t="inlineStr">
        <is>
          <t>v6</t>
        </is>
      </c>
      <c r="B58" s="11" t="inlineStr">
        <is>
          <t>ordered CH chain</t>
        </is>
      </c>
      <c r="C58" s="12" t="n">
        <v>1521</v>
      </c>
      <c r="D58" s="12" t="n">
        <v>1913</v>
      </c>
      <c r="E58" s="12" t="n">
        <v>2025</v>
      </c>
      <c r="F58" s="13" t="n">
        <v>0.985123</v>
      </c>
      <c r="G58" s="23" t="n">
        <v>-0.07537993920972641</v>
      </c>
      <c r="H58" s="11" t="inlineStr"/>
    </row>
    <row r="59" ht="31" customHeight="1">
      <c r="A59" s="5" t="inlineStr">
        <is>
          <t>v7</t>
        </is>
      </c>
      <c r="B59" s="6" t="inlineStr">
        <is>
          <t>chain + backup + repair</t>
        </is>
      </c>
      <c r="C59" s="7" t="n">
        <v>1521</v>
      </c>
      <c r="D59" s="7" t="n">
        <v>1906</v>
      </c>
      <c r="E59" s="7" t="n">
        <v>2011</v>
      </c>
      <c r="F59" s="8" t="n">
        <v>0.989135</v>
      </c>
      <c r="G59" s="24" t="n">
        <v>0</v>
      </c>
      <c r="H59" s="6" t="inlineStr"/>
    </row>
    <row r="60" ht="31" customHeight="1">
      <c r="A60" s="10" t="inlineStr">
        <is>
          <t>v7.1</t>
        </is>
      </c>
      <c r="B60" s="11" t="inlineStr">
        <is>
          <t>greedy multi-hop tree</t>
        </is>
      </c>
      <c r="C60" s="12" t="n">
        <v>1466</v>
      </c>
      <c r="D60" s="12" t="n">
        <v>1896</v>
      </c>
      <c r="E60" s="12" t="n">
        <v>2011</v>
      </c>
      <c r="F60" s="13" t="n">
        <v>0.990826</v>
      </c>
      <c r="G60" s="23" t="n">
        <v>-0.03616042077580539</v>
      </c>
      <c r="H60" s="11" t="inlineStr"/>
    </row>
    <row r="61" ht="31" customHeight="1">
      <c r="A61" s="15" t="inlineStr">
        <is>
          <t>v8</t>
        </is>
      </c>
      <c r="B61" s="15" t="inlineStr">
        <is>
          <t>v5b + I1–I5</t>
        </is>
      </c>
      <c r="C61" s="16" t="n">
        <v>2446</v>
      </c>
      <c r="D61" s="16" t="n">
        <v>2536</v>
      </c>
      <c r="E61" s="16" t="n">
        <v>2566</v>
      </c>
      <c r="F61" s="17" t="n">
        <v>0.997208</v>
      </c>
      <c r="G61" s="25" t="n">
        <v>0.6684856753069577</v>
      </c>
      <c r="H61" s="15" t="inlineStr"/>
    </row>
    <row r="62" ht="31" customHeight="1">
      <c r="A62" s="15" t="inlineStr">
        <is>
          <t>v8-Chain</t>
        </is>
      </c>
      <c r="B62" s="15" t="inlineStr">
        <is>
          <t>v8 + energy-aware relay</t>
        </is>
      </c>
      <c r="C62" s="16" t="n">
        <v>2446</v>
      </c>
      <c r="D62" s="16" t="n">
        <v>2536</v>
      </c>
      <c r="E62" s="16" t="n">
        <v>2566</v>
      </c>
      <c r="F62" s="17" t="n">
        <v>0.9971680000000001</v>
      </c>
      <c r="G62" s="25" t="n">
        <v>0</v>
      </c>
      <c r="H62" s="15" t="inlineStr"/>
    </row>
    <row r="64" ht="22" customHeight="1">
      <c r="A64" s="3" t="inlineStr">
        <is>
          <t>5. Which part of v8 matters? (v8 with one improvement switched off)</t>
        </is>
      </c>
    </row>
    <row r="65" ht="30" customHeight="1">
      <c r="A65" s="4" t="inlineStr">
        <is>
          <t>Run</t>
        </is>
      </c>
      <c r="B65" s="4" t="inlineStr">
        <is>
          <t>Switched off</t>
        </is>
      </c>
      <c r="C65" s="4" t="inlineStr">
        <is>
          <t>FND</t>
        </is>
      </c>
      <c r="D65" s="4" t="inlineStr">
        <is>
          <t>HND</t>
        </is>
      </c>
      <c r="E65" s="4" t="inlineStr">
        <is>
          <t>LND</t>
        </is>
      </c>
      <c r="F65" s="4" t="inlineStr">
        <is>
          <t>PDR</t>
        </is>
      </c>
      <c r="G65" s="4" t="inlineStr">
        <is>
          <t>FND change</t>
        </is>
      </c>
      <c r="H65" s="4" t="inlineStr"/>
    </row>
    <row r="66" ht="31" customHeight="1">
      <c r="A66" s="15" t="inlineStr">
        <is>
          <t>v8 (full)</t>
        </is>
      </c>
      <c r="B66" s="15" t="inlineStr">
        <is>
          <t>—</t>
        </is>
      </c>
      <c r="C66" s="16" t="n">
        <v>2446</v>
      </c>
      <c r="D66" s="16" t="n">
        <v>2536</v>
      </c>
      <c r="E66" s="16" t="n">
        <v>2566</v>
      </c>
      <c r="F66" s="17" t="n">
        <v>0.997208</v>
      </c>
      <c r="G66" s="21" t="inlineStr">
        <is>
          <t>—</t>
        </is>
      </c>
      <c r="H66" s="15" t="inlineStr"/>
    </row>
    <row r="67" ht="31" customHeight="1">
      <c r="A67" s="5" t="inlineStr">
        <is>
          <t>v8 − I1</t>
        </is>
      </c>
      <c r="B67" s="6" t="inlineStr">
        <is>
          <t>I1 epoch fix</t>
        </is>
      </c>
      <c r="C67" s="7" t="n">
        <v>2451</v>
      </c>
      <c r="D67" s="7" t="n">
        <v>2541</v>
      </c>
      <c r="E67" s="7" t="n">
        <v>2581</v>
      </c>
      <c r="F67" s="8" t="n">
        <v>0.997409</v>
      </c>
      <c r="G67" s="24" t="n">
        <v>0.002044153720359709</v>
      </c>
      <c r="H67" s="6" t="inlineStr"/>
    </row>
    <row r="68" ht="31" customHeight="1">
      <c r="A68" s="10" t="inlineStr">
        <is>
          <t>v8 − I2</t>
        </is>
      </c>
      <c r="B68" s="11" t="inlineStr">
        <is>
          <t>I2 handover</t>
        </is>
      </c>
      <c r="C68" s="12" t="n">
        <v>2430</v>
      </c>
      <c r="D68" s="12" t="n">
        <v>2535</v>
      </c>
      <c r="E68" s="12" t="n">
        <v>2581</v>
      </c>
      <c r="F68" s="13" t="n">
        <v>0.996309</v>
      </c>
      <c r="G68" s="23" t="n">
        <v>-0.006541291905151292</v>
      </c>
      <c r="H68" s="11" t="inlineStr"/>
    </row>
    <row r="69" ht="31" customHeight="1">
      <c r="A69" s="5" t="inlineStr">
        <is>
          <t>v8 − I3</t>
        </is>
      </c>
      <c r="B69" s="6" t="inlineStr">
        <is>
          <t>I3 re-join</t>
        </is>
      </c>
      <c r="C69" s="7" t="n">
        <v>2446</v>
      </c>
      <c r="D69" s="7" t="n">
        <v>2536</v>
      </c>
      <c r="E69" s="7" t="n">
        <v>2566</v>
      </c>
      <c r="F69" s="8" t="n">
        <v>0.997105</v>
      </c>
      <c r="G69" s="24" t="n">
        <v>0</v>
      </c>
      <c r="H69" s="6" t="inlineStr"/>
    </row>
    <row r="70" ht="31" customHeight="1">
      <c r="A70" s="10" t="inlineStr">
        <is>
          <t>v8 − I4</t>
        </is>
      </c>
      <c r="B70" s="11" t="inlineStr">
        <is>
          <t>I4 direct-to-BS</t>
        </is>
      </c>
      <c r="C70" s="12" t="n">
        <v>1766</v>
      </c>
      <c r="D70" s="12" t="n">
        <v>1916</v>
      </c>
      <c r="E70" s="12" t="n">
        <v>1981</v>
      </c>
      <c r="F70" s="13" t="n">
        <v>0.995359</v>
      </c>
      <c r="G70" s="23" t="n">
        <v>-0.2780049059689289</v>
      </c>
      <c r="H70" s="11" t="inlineStr"/>
    </row>
    <row r="71" ht="31" customHeight="1">
      <c r="A71" s="5" t="inlineStr">
        <is>
          <t>v8 − I5</t>
        </is>
      </c>
      <c r="B71" s="6" t="inlineStr">
        <is>
          <t>I5 energy gate</t>
        </is>
      </c>
      <c r="C71" s="7" t="n">
        <v>2171</v>
      </c>
      <c r="D71" s="7" t="n">
        <v>2481</v>
      </c>
      <c r="E71" s="7" t="n">
        <v>2551</v>
      </c>
      <c r="F71" s="8" t="n">
        <v>0.997721</v>
      </c>
      <c r="G71" s="24" t="n">
        <v>-0.1124284546197875</v>
      </c>
      <c r="H71" s="6" t="inlineStr"/>
    </row>
    <row r="73">
      <c r="A73" s="26" t="inlineStr">
        <is>
          <t>Robustness: v8 on 8 random topologies → FND 2401 – 2481 (mean 2448).</t>
        </is>
      </c>
    </row>
  </sheetData>
  <mergeCells count="6">
    <mergeCell ref="A50:H50"/>
    <mergeCell ref="A73:H73"/>
    <mergeCell ref="A16:H16"/>
    <mergeCell ref="A64:H64"/>
    <mergeCell ref="A5:H5"/>
    <mergeCell ref="A31:H31"/>
  </mergeCells>
  <pageMargins left="0.75" right="0.75" top="1" bottom="1" header="0.5" footer="0.5"/>
  <pageSetup orientation="landscape" fitToHeight="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2026-09-26T13:47:08Z</dcterms:created>
  <dcterms:modified xmlns:dcterms="http://purl.org/dc/terms/" xmlns:xsi="http://www.w3.org/2001/XMLSchema-instance" xsi:type="dcterms:W3CDTF">2026-09-26T13:47:08Z</dcterms:modified>
</cp:coreProperties>
</file>