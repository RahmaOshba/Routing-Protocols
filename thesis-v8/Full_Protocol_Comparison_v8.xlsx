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Comparison" sheetId="1" state="visible" r:id="rId3"/>
    <sheet name="Improvement vs Original Code" sheetId="2" state="visible" r:id="rId4"/>
    <sheet name="v8 Ablation &amp; Robustn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<sst xmlns="http://schemas.openxmlformats.org/spreadsheetml/2006/main" count="349" uniqueCount="112">
  <si>
    <t xml:space="preserve">Complete Protocol Comparison: Original Papers → Original Code → Edited → Improved → Proposed (v1→v8)</t>
  </si>
  <si>
    <t xml:space="preserve">"Original Paper" = numbers/graphs as published by the protocol's authors. "Our NS-3 Original (paper-exact)" = our reproduction under the paper's own settings. "Edited" = reproduced under this thesis's unified 100x100m / 100-node environment. "Improved" = Edited version plus this thesis's own targeted modification. "Proposed" = this thesis's own v1-v7.2 protocol family (original contribution).</t>
  </si>
  <si>
    <t xml:space="preserve">Protocol Family</t>
  </si>
  <si>
    <t xml:space="preserve">Stage</t>
  </si>
  <si>
    <t xml:space="preserve">Variant / Version</t>
  </si>
  <si>
    <t xml:space="preserve">FND (rounds)</t>
  </si>
  <si>
    <t xml:space="preserve">HND (rounds)</t>
  </si>
  <si>
    <t xml:space="preserve">LND (rounds)</t>
  </si>
  <si>
    <t xml:space="preserve">PDR (%)</t>
  </si>
  <si>
    <t xml:space="preserve">Source / Notes</t>
  </si>
  <si>
    <t xml:space="preserve">LEACH</t>
  </si>
  <si>
    <t xml:space="preserve">Original Paper</t>
  </si>
  <si>
    <t xml:space="preserve">—</t>
  </si>
  <si>
    <t xml:space="preserve">N/A</t>
  </si>
  <si>
    <t xml:space="preserve">Heinzelman, Chandrakasan &amp; Balakrishnan 2000, Table 2 (0.5J)</t>
  </si>
  <si>
    <t xml:space="preserve">Our NS-3 Original (paper-exact)</t>
  </si>
  <si>
    <t xml:space="preserve">Reproduced under the paper's own settings</t>
  </si>
  <si>
    <t xml:space="preserve">Our NS-3 Edited (unified env.)</t>
  </si>
  <si>
    <t xml:space="preserve">Unified 100x100m / 100-node environment used for all thesis comparisons</t>
  </si>
  <si>
    <t xml:space="preserve">HEED</t>
  </si>
  <si>
    <t xml:space="preserve">Graph only</t>
  </si>
  <si>
    <t xml:space="preserve">Younis &amp; Fahmy 2004, Fig. 8a/8b (no exact numeric table)</t>
  </si>
  <si>
    <t xml:space="preserve">Original variant</t>
  </si>
  <si>
    <t xml:space="preserve">Unified 100x100m / 100-node environment</t>
  </si>
  <si>
    <t xml:space="preserve">Modified variant</t>
  </si>
  <si>
    <t xml:space="preserve">Unified environment, modified cost-function variant</t>
  </si>
  <si>
    <t xml:space="preserve">PEGASIS</t>
  </si>
  <si>
    <t xml:space="preserve">Lindsey &amp; Raghavendra 2002, Table 1 (50x50m, 0.5J)</t>
  </si>
  <si>
    <t xml:space="preserve">SH-LEACH</t>
  </si>
  <si>
    <t xml:space="preserve">Shrestha, Kim, Jung &amp; Lee 2015, Fig. 2 (no exact numeric table)</t>
  </si>
  <si>
    <t xml:space="preserve">Our NS-3 Edited + Improvement</t>
  </si>
  <si>
    <t xml:space="preserve">This thesis's own targeted modification on top of the Edited version</t>
  </si>
  <si>
    <t xml:space="preserve">H-LEACH</t>
  </si>
  <si>
    <t xml:space="preserve">approx. from graph</t>
  </si>
  <si>
    <t xml:space="preserve">~4312</t>
  </si>
  <si>
    <t xml:space="preserve">Razaque, Mudigulam, Gavini, Amsaad, Abdulgader &amp; Krishna 2016, Fig. 2</t>
  </si>
  <si>
    <t xml:space="preserve">EECH-HEED (context only)</t>
  </si>
  <si>
    <t xml:space="preserve">Kaur, Kour &amp; Singh 2025, Table 7 (HEED+EECH hybrid, NOT LEACH+HEED — context only)</t>
  </si>
  <si>
    <t xml:space="preserve">Proposed Protocol (v1-v8)</t>
  </si>
  <si>
    <t xml:space="preserve">Proposed</t>
  </si>
  <si>
    <t xml:space="preserve">v1</t>
  </si>
  <si>
    <t xml:space="preserve">HEED-style CH selection + LEACH clustering, no multi-round reuse</t>
  </si>
  <si>
    <t xml:space="preserve">v2</t>
  </si>
  <si>
    <t xml:space="preserve">+ Rotation fairness penalty</t>
  </si>
  <si>
    <t xml:space="preserve">v3</t>
  </si>
  <si>
    <t xml:space="preserve">Single-pass Energy x Connectivity score + multi-round reuse (root-cause redesign)</t>
  </si>
  <si>
    <t xml:space="preserve">v4</t>
  </si>
  <si>
    <t xml:space="preserve">Longer setup interval: 5 → 15 rounds</t>
  </si>
  <si>
    <t xml:space="preserve">v5</t>
  </si>
  <si>
    <t xml:space="preserve">+ Backup CH Failover</t>
  </si>
  <si>
    <t xml:space="preserve">v6 (Center BS)</t>
  </si>
  <si>
    <t xml:space="preserve">+ CH-to-CH Chain; BS at field center</t>
  </si>
  <si>
    <t xml:space="preserve">v6 (Far BS)</t>
  </si>
  <si>
    <t xml:space="preserve">+ CH-to-CH Chain; BS far from field</t>
  </si>
  <si>
    <t xml:space="preserve">v7 (Center BS)</t>
  </si>
  <si>
    <t xml:space="preserve">Chain + Backup Failover + Chain Repair</t>
  </si>
  <si>
    <t xml:space="preserve">v7 (Far BS)</t>
  </si>
  <si>
    <t xml:space="preserve">Chain + Backup Failover + Chain Repair; Far BS</t>
  </si>
  <si>
    <t xml:space="preserve">v7.1 (Multihop, Interval=5)</t>
  </si>
  <si>
    <t xml:space="preserve">Greedy multihop routing replaces the ordered chain</t>
  </si>
  <si>
    <t xml:space="preserve">v7.2 (Multihop, Interval=10)</t>
  </si>
  <si>
    <t xml:space="preserve">Same multihop routing, longer setup interval (5→10)</t>
  </si>
  <si>
    <t xml:space="preserve">v5b (Interval=5, Energy-Aware Repair)</t>
  </si>
  <si>
    <t xml:space="preserve">v3 interval (5) + Backup Failover + Chain/Cluster Repair + Energy-Aware Repair (5% of E0). NOTE: LND inflated by stranded nodes; last 1038 rounds delivered 59 packets total</t>
  </si>
  <si>
    <t xml:space="preserve">v8 (Center BS)</t>
  </si>
  <si>
    <t xml:space="preserve">v5b + epoch-exhaustion fix + proactive CH handover + orphan re-join + direct-to-BS + energy-gated CH + relative low-energy threshold</t>
  </si>
  <si>
    <t xml:space="preserve">v8 (Far BS)</t>
  </si>
  <si>
    <t xml:space="preserve">Same v8 code, BS far (50,-100); direct-to-BS rarely fires (76 packets)</t>
  </si>
  <si>
    <t xml:space="preserve">% Change vs. "Our NS-3 Original (paper-exact)" baseline — formulas reference Sheet 'Full Comparison'</t>
  </si>
  <si>
    <t xml:space="preserve">Variant</t>
  </si>
  <si>
    <t xml:space="preserve">FND Δ%</t>
  </si>
  <si>
    <t xml:space="preserve">HND Δ%</t>
  </si>
  <si>
    <t xml:space="preserve">LND Δ%</t>
  </si>
  <si>
    <t xml:space="preserve">PDR Δ (pp)</t>
  </si>
  <si>
    <t xml:space="preserve">n/a</t>
  </si>
  <si>
    <t xml:space="preserve">baseline</t>
  </si>
  <si>
    <t xml:space="preserve">Proposed Protocol Family — % Change vs v1 (own baseline)</t>
  </si>
  <si>
    <t xml:space="preserve">A. Leave-one-out ablation of v8 (Center BS, seed 12345) — each row disables ONE mechanism</t>
  </si>
  <si>
    <t xml:space="preserve">Mechanism removed</t>
  </si>
  <si>
    <t xml:space="preserve">FND</t>
  </si>
  <si>
    <t xml:space="preserve">HND</t>
  </si>
  <si>
    <t xml:space="preserve">LND</t>
  </si>
  <si>
    <t xml:space="preserve">Delivered packets</t>
  </si>
  <si>
    <t xml:space="preserve">Backup promotions (ok/rejected)</t>
  </si>
  <si>
    <t xml:space="preserve">Proactive handovers</t>
  </si>
  <si>
    <t xml:space="preserve">Direct-to-BS packets</t>
  </si>
  <si>
    <t xml:space="preserve">v8 (full)</t>
  </si>
  <si>
    <t xml:space="preserve">18/11</t>
  </si>
  <si>
    <t xml:space="preserve">v8 − I1</t>
  </si>
  <si>
    <t xml:space="preserve">Epoch-exhaustion fix</t>
  </si>
  <si>
    <t xml:space="preserve">v8 − I2</t>
  </si>
  <si>
    <t xml:space="preserve">Proactive CH handover</t>
  </si>
  <si>
    <t xml:space="preserve">21/6</t>
  </si>
  <si>
    <t xml:space="preserve">v8 − I3</t>
  </si>
  <si>
    <t xml:space="preserve">Orphan re-join</t>
  </si>
  <si>
    <t xml:space="preserve">v8 − I4</t>
  </si>
  <si>
    <t xml:space="preserve">Direct-to-BS</t>
  </si>
  <si>
    <t xml:space="preserve">7/8</t>
  </si>
  <si>
    <t xml:space="preserve">v8 − I5</t>
  </si>
  <si>
    <t xml:space="preserve">Energy-gated CH election</t>
  </si>
  <si>
    <t xml:space="preserve">9/7</t>
  </si>
  <si>
    <t xml:space="preserve">v8 − all of I1..I5</t>
  </si>
  <si>
    <t xml:space="preserve">Only relative low-energy threshold kept</t>
  </si>
  <si>
    <t xml:space="preserve">26/4</t>
  </si>
  <si>
    <t xml:space="preserve">Reading: I4 (direct-to-BS) and I5 (energy gate) carry most of the lifetime gain; I2 adds PDR; I1 and I3 had no measurable effect in the full combination for this seed (safety nets — I1 alone removed 998 zero-CH rounds from v5b).</t>
  </si>
  <si>
    <t xml:space="preserve">B. Robustness across 8 random topologies (seeds 12345, 1, 7, 42, 99, 2024, 31337, 555) — mean values</t>
  </si>
  <si>
    <t xml:space="preserve">BS position</t>
  </si>
  <si>
    <t xml:space="preserve">v5b</t>
  </si>
  <si>
    <t xml:space="preserve">Center (50,50)</t>
  </si>
  <si>
    <t xml:space="preserve">v8</t>
  </si>
  <si>
    <t xml:space="preserve">Far (50,-100)</t>
  </si>
  <si>
    <t xml:space="preserve">Source: this thesis's own simulation runs (hybrid-v5b-energyaware.cc, hybrid-v6-optimized.cc = v8), same unified environment as all other rows.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</si>
</sst>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\+0.0%;\-0.0%;0.0%"/>
    <numFmt numFmtId="167" formatCode="\+0.00;\-0.00;0.00"/>
    <numFmt numFmtId="168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64062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73.8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true" outlineLevel="0" collapsed="false">
      <c r="A5" s="4" t="s">
        <v>10</v>
      </c>
      <c r="B5" s="5" t="s">
        <v>11</v>
      </c>
      <c r="C5" s="5" t="s">
        <v>12</v>
      </c>
      <c r="D5" s="5" t="n">
        <v>932</v>
      </c>
      <c r="E5" s="5" t="s">
        <v>13</v>
      </c>
      <c r="F5" s="5" t="n">
        <v>1312</v>
      </c>
      <c r="G5" s="5" t="s">
        <v>13</v>
      </c>
      <c r="H5" s="5" t="s">
        <v>14</v>
      </c>
    </row>
    <row r="6" customFormat="false" ht="23.25" hidden="false" customHeight="true" outlineLevel="0" collapsed="false">
      <c r="A6" s="4"/>
      <c r="B6" s="5" t="s">
        <v>15</v>
      </c>
      <c r="C6" s="5" t="s">
        <v>12</v>
      </c>
      <c r="D6" s="5" t="n">
        <v>882</v>
      </c>
      <c r="E6" s="5" t="n">
        <v>970</v>
      </c>
      <c r="F6" s="5" t="n">
        <v>1321</v>
      </c>
      <c r="G6" s="6" t="n">
        <v>0.9802</v>
      </c>
      <c r="H6" s="5" t="s">
        <v>16</v>
      </c>
    </row>
    <row r="7" customFormat="false" ht="23.25" hidden="false" customHeight="true" outlineLevel="0" collapsed="false">
      <c r="A7" s="4"/>
      <c r="B7" s="5" t="s">
        <v>17</v>
      </c>
      <c r="C7" s="5" t="s">
        <v>12</v>
      </c>
      <c r="D7" s="5" t="n">
        <v>1409</v>
      </c>
      <c r="E7" s="5" t="n">
        <v>1626</v>
      </c>
      <c r="F7" s="5" t="n">
        <v>1962</v>
      </c>
      <c r="G7" s="6" t="n">
        <v>0.9837</v>
      </c>
      <c r="H7" s="5" t="s">
        <v>18</v>
      </c>
    </row>
    <row r="8" customFormat="false" ht="15" hidden="false" customHeight="true" outlineLevel="0" collapsed="false">
      <c r="A8" s="7" t="s">
        <v>19</v>
      </c>
      <c r="B8" s="8" t="s">
        <v>11</v>
      </c>
      <c r="C8" s="8" t="s">
        <v>12</v>
      </c>
      <c r="D8" s="8" t="s">
        <v>20</v>
      </c>
      <c r="E8" s="8" t="s">
        <v>13</v>
      </c>
      <c r="F8" s="8" t="s">
        <v>20</v>
      </c>
      <c r="G8" s="8" t="s">
        <v>13</v>
      </c>
      <c r="H8" s="8" t="s">
        <v>21</v>
      </c>
    </row>
    <row r="9" customFormat="false" ht="23.25" hidden="false" customHeight="true" outlineLevel="0" collapsed="false">
      <c r="A9" s="7"/>
      <c r="B9" s="8" t="s">
        <v>15</v>
      </c>
      <c r="C9" s="8" t="s">
        <v>12</v>
      </c>
      <c r="D9" s="8" t="n">
        <v>1106</v>
      </c>
      <c r="E9" s="8" t="n">
        <v>1626</v>
      </c>
      <c r="F9" s="8" t="n">
        <v>1996</v>
      </c>
      <c r="G9" s="9" t="n">
        <v>0.9997</v>
      </c>
      <c r="H9" s="8" t="s">
        <v>16</v>
      </c>
    </row>
    <row r="10" customFormat="false" ht="23.25" hidden="false" customHeight="true" outlineLevel="0" collapsed="false">
      <c r="A10" s="7"/>
      <c r="B10" s="8" t="s">
        <v>17</v>
      </c>
      <c r="C10" s="8" t="s">
        <v>22</v>
      </c>
      <c r="D10" s="8" t="n">
        <v>323</v>
      </c>
      <c r="E10" s="8" t="n">
        <v>570</v>
      </c>
      <c r="F10" s="8" t="n">
        <v>1362</v>
      </c>
      <c r="G10" s="9" t="n">
        <v>0.9969</v>
      </c>
      <c r="H10" s="8" t="s">
        <v>23</v>
      </c>
    </row>
    <row r="11" customFormat="false" ht="23.25" hidden="false" customHeight="true" outlineLevel="0" collapsed="false">
      <c r="A11" s="7"/>
      <c r="B11" s="8" t="s">
        <v>17</v>
      </c>
      <c r="C11" s="8" t="s">
        <v>24</v>
      </c>
      <c r="D11" s="8" t="n">
        <v>338</v>
      </c>
      <c r="E11" s="8" t="n">
        <v>549</v>
      </c>
      <c r="F11" s="8" t="n">
        <v>1502</v>
      </c>
      <c r="G11" s="9" t="n">
        <v>0.9967</v>
      </c>
      <c r="H11" s="8" t="s">
        <v>25</v>
      </c>
    </row>
    <row r="12" customFormat="false" ht="15" hidden="false" customHeight="true" outlineLevel="0" collapsed="false">
      <c r="A12" s="10" t="s">
        <v>26</v>
      </c>
      <c r="B12" s="11" t="s">
        <v>11</v>
      </c>
      <c r="C12" s="11" t="s">
        <v>12</v>
      </c>
      <c r="D12" s="11" t="n">
        <v>1578</v>
      </c>
      <c r="E12" s="11" t="n">
        <v>2082</v>
      </c>
      <c r="F12" s="11" t="n">
        <v>2192</v>
      </c>
      <c r="G12" s="11" t="s">
        <v>13</v>
      </c>
      <c r="H12" s="11" t="s">
        <v>27</v>
      </c>
    </row>
    <row r="13" customFormat="false" ht="23.25" hidden="false" customHeight="true" outlineLevel="0" collapsed="false">
      <c r="A13" s="10"/>
      <c r="B13" s="11" t="s">
        <v>15</v>
      </c>
      <c r="C13" s="11" t="s">
        <v>12</v>
      </c>
      <c r="D13" s="11" t="n">
        <v>1614</v>
      </c>
      <c r="E13" s="11" t="n">
        <v>2036</v>
      </c>
      <c r="F13" s="11" t="n">
        <v>2167</v>
      </c>
      <c r="G13" s="12" t="n">
        <v>0.9775</v>
      </c>
      <c r="H13" s="11" t="s">
        <v>16</v>
      </c>
    </row>
    <row r="14" customFormat="false" ht="23.25" hidden="false" customHeight="true" outlineLevel="0" collapsed="false">
      <c r="A14" s="10"/>
      <c r="B14" s="11" t="s">
        <v>17</v>
      </c>
      <c r="C14" s="11" t="s">
        <v>12</v>
      </c>
      <c r="D14" s="11" t="n">
        <v>1324</v>
      </c>
      <c r="E14" s="11" t="n">
        <v>2353</v>
      </c>
      <c r="F14" s="11" t="n">
        <v>2887</v>
      </c>
      <c r="G14" s="12" t="n">
        <v>0.9867</v>
      </c>
      <c r="H14" s="11" t="s">
        <v>23</v>
      </c>
    </row>
    <row r="15" customFormat="false" ht="15" hidden="false" customHeight="true" outlineLevel="0" collapsed="false">
      <c r="A15" s="13" t="s">
        <v>28</v>
      </c>
      <c r="B15" s="14" t="s">
        <v>11</v>
      </c>
      <c r="C15" s="14" t="s">
        <v>12</v>
      </c>
      <c r="D15" s="14" t="s">
        <v>20</v>
      </c>
      <c r="E15" s="14" t="s">
        <v>13</v>
      </c>
      <c r="F15" s="14" t="s">
        <v>20</v>
      </c>
      <c r="G15" s="14" t="s">
        <v>13</v>
      </c>
      <c r="H15" s="14" t="s">
        <v>29</v>
      </c>
    </row>
    <row r="16" customFormat="false" ht="23.25" hidden="false" customHeight="true" outlineLevel="0" collapsed="false">
      <c r="A16" s="13"/>
      <c r="B16" s="14" t="s">
        <v>15</v>
      </c>
      <c r="C16" s="14" t="s">
        <v>12</v>
      </c>
      <c r="D16" s="14" t="n">
        <v>493</v>
      </c>
      <c r="E16" s="14" t="n">
        <v>747</v>
      </c>
      <c r="F16" s="14" t="n">
        <v>884</v>
      </c>
      <c r="G16" s="15" t="n">
        <v>0.9953</v>
      </c>
      <c r="H16" s="14" t="s">
        <v>16</v>
      </c>
    </row>
    <row r="17" customFormat="false" ht="23.25" hidden="false" customHeight="true" outlineLevel="0" collapsed="false">
      <c r="A17" s="13"/>
      <c r="B17" s="14" t="s">
        <v>17</v>
      </c>
      <c r="C17" s="14" t="s">
        <v>12</v>
      </c>
      <c r="D17" s="14" t="n">
        <v>1440</v>
      </c>
      <c r="E17" s="14" t="n">
        <v>1584</v>
      </c>
      <c r="F17" s="14" t="n">
        <v>1604</v>
      </c>
      <c r="G17" s="15" t="n">
        <v>0.9917</v>
      </c>
      <c r="H17" s="14" t="s">
        <v>23</v>
      </c>
    </row>
    <row r="18" customFormat="false" ht="23.25" hidden="false" customHeight="true" outlineLevel="0" collapsed="false">
      <c r="A18" s="13"/>
      <c r="B18" s="14" t="s">
        <v>30</v>
      </c>
      <c r="C18" s="14" t="s">
        <v>12</v>
      </c>
      <c r="D18" s="14" t="n">
        <v>1247</v>
      </c>
      <c r="E18" s="14" t="n">
        <v>1600</v>
      </c>
      <c r="F18" s="14" t="n">
        <v>1649</v>
      </c>
      <c r="G18" s="15" t="n">
        <v>0.9979</v>
      </c>
      <c r="H18" s="14" t="s">
        <v>31</v>
      </c>
    </row>
    <row r="19" customFormat="false" ht="23.25" hidden="false" customHeight="true" outlineLevel="0" collapsed="false">
      <c r="A19" s="16" t="s">
        <v>32</v>
      </c>
      <c r="B19" s="17" t="s">
        <v>11</v>
      </c>
      <c r="C19" s="17" t="s">
        <v>33</v>
      </c>
      <c r="D19" s="17" t="s">
        <v>13</v>
      </c>
      <c r="E19" s="17" t="s">
        <v>13</v>
      </c>
      <c r="F19" s="17" t="s">
        <v>34</v>
      </c>
      <c r="G19" s="17" t="s">
        <v>13</v>
      </c>
      <c r="H19" s="17" t="s">
        <v>35</v>
      </c>
    </row>
    <row r="20" customFormat="false" ht="23.25" hidden="false" customHeight="true" outlineLevel="0" collapsed="false">
      <c r="A20" s="16"/>
      <c r="B20" s="17" t="s">
        <v>15</v>
      </c>
      <c r="C20" s="17" t="s">
        <v>12</v>
      </c>
      <c r="D20" s="17" t="n">
        <v>1080</v>
      </c>
      <c r="E20" s="17" t="n">
        <v>1160</v>
      </c>
      <c r="F20" s="17" t="n">
        <v>1210</v>
      </c>
      <c r="G20" s="18" t="n">
        <v>0.9475</v>
      </c>
      <c r="H20" s="17" t="s">
        <v>16</v>
      </c>
    </row>
    <row r="21" customFormat="false" ht="23.25" hidden="false" customHeight="true" outlineLevel="0" collapsed="false">
      <c r="A21" s="16"/>
      <c r="B21" s="17" t="s">
        <v>17</v>
      </c>
      <c r="C21" s="17" t="s">
        <v>12</v>
      </c>
      <c r="D21" s="17" t="n">
        <v>2177</v>
      </c>
      <c r="E21" s="17" t="n">
        <v>2255</v>
      </c>
      <c r="F21" s="17" t="n">
        <v>2305</v>
      </c>
      <c r="G21" s="18" t="n">
        <v>0.9733</v>
      </c>
      <c r="H21" s="17" t="s">
        <v>23</v>
      </c>
    </row>
    <row r="22" customFormat="false" ht="23.25" hidden="false" customHeight="true" outlineLevel="0" collapsed="false">
      <c r="A22" s="16"/>
      <c r="B22" s="17" t="s">
        <v>30</v>
      </c>
      <c r="C22" s="17" t="s">
        <v>12</v>
      </c>
      <c r="D22" s="17" t="n">
        <v>2347</v>
      </c>
      <c r="E22" s="17" t="n">
        <v>2449</v>
      </c>
      <c r="F22" s="17" t="n">
        <v>2499</v>
      </c>
      <c r="G22" s="18" t="n">
        <v>0.9733</v>
      </c>
      <c r="H22" s="17" t="s">
        <v>31</v>
      </c>
    </row>
    <row r="23" customFormat="false" ht="23.25" hidden="false" customHeight="true" outlineLevel="0" collapsed="false">
      <c r="A23" s="19" t="s">
        <v>36</v>
      </c>
      <c r="B23" s="20" t="s">
        <v>11</v>
      </c>
      <c r="C23" s="20" t="s">
        <v>12</v>
      </c>
      <c r="D23" s="20" t="n">
        <v>1250</v>
      </c>
      <c r="E23" s="20" t="n">
        <v>1650</v>
      </c>
      <c r="F23" s="20" t="n">
        <v>2200</v>
      </c>
      <c r="G23" s="21" t="n">
        <v>0.95</v>
      </c>
      <c r="H23" s="20" t="s">
        <v>37</v>
      </c>
    </row>
    <row r="24" customFormat="false" ht="23.25" hidden="false" customHeight="true" outlineLevel="0" collapsed="false">
      <c r="A24" s="19"/>
      <c r="B24" s="20" t="s">
        <v>15</v>
      </c>
      <c r="C24" s="20" t="s">
        <v>12</v>
      </c>
      <c r="D24" s="20" t="n">
        <v>792</v>
      </c>
      <c r="E24" s="20" t="n">
        <v>1079</v>
      </c>
      <c r="F24" s="20" t="n">
        <v>1129</v>
      </c>
      <c r="G24" s="21" t="n">
        <v>0.9043</v>
      </c>
      <c r="H24" s="20" t="s">
        <v>16</v>
      </c>
    </row>
    <row r="25" customFormat="false" ht="23.25" hidden="false" customHeight="true" outlineLevel="0" collapsed="false">
      <c r="A25" s="19"/>
      <c r="B25" s="20" t="s">
        <v>17</v>
      </c>
      <c r="C25" s="20" t="s">
        <v>12</v>
      </c>
      <c r="D25" s="20" t="n">
        <v>1653</v>
      </c>
      <c r="E25" s="20" t="n">
        <v>2134</v>
      </c>
      <c r="F25" s="20" t="n">
        <v>2184</v>
      </c>
      <c r="G25" s="21" t="n">
        <v>0.9168</v>
      </c>
      <c r="H25" s="20" t="s">
        <v>23</v>
      </c>
    </row>
    <row r="26" customFormat="false" ht="23.25" hidden="false" customHeight="true" outlineLevel="0" collapsed="false">
      <c r="A26" s="19"/>
      <c r="B26" s="20" t="s">
        <v>30</v>
      </c>
      <c r="C26" s="20" t="s">
        <v>12</v>
      </c>
      <c r="D26" s="20" t="n">
        <v>2502</v>
      </c>
      <c r="E26" s="20" t="n">
        <v>3758</v>
      </c>
      <c r="F26" s="20" t="n">
        <v>3808</v>
      </c>
      <c r="G26" s="21" t="n">
        <v>0.9214</v>
      </c>
      <c r="H26" s="20" t="s">
        <v>31</v>
      </c>
    </row>
    <row r="27" customFormat="false" ht="15" hidden="false" customHeight="true" outlineLevel="0" collapsed="false">
      <c r="A27" s="22" t="s">
        <v>38</v>
      </c>
      <c r="B27" s="23" t="s">
        <v>39</v>
      </c>
      <c r="C27" s="23" t="s">
        <v>40</v>
      </c>
      <c r="D27" s="23" t="n">
        <v>330</v>
      </c>
      <c r="E27" s="23" t="n">
        <v>557</v>
      </c>
      <c r="F27" s="23" t="n">
        <v>1318</v>
      </c>
      <c r="G27" s="24" t="n">
        <v>0.9974</v>
      </c>
      <c r="H27" s="23" t="s">
        <v>41</v>
      </c>
    </row>
    <row r="28" customFormat="false" ht="15" hidden="false" customHeight="true" outlineLevel="0" collapsed="false">
      <c r="A28" s="22"/>
      <c r="B28" s="23" t="s">
        <v>39</v>
      </c>
      <c r="C28" s="23" t="s">
        <v>42</v>
      </c>
      <c r="D28" s="23" t="n">
        <v>345</v>
      </c>
      <c r="E28" s="23" t="n">
        <v>534</v>
      </c>
      <c r="F28" s="23" t="n">
        <v>1393</v>
      </c>
      <c r="G28" s="24" t="n">
        <v>0.9979</v>
      </c>
      <c r="H28" s="23" t="s">
        <v>43</v>
      </c>
    </row>
    <row r="29" customFormat="false" ht="23.25" hidden="false" customHeight="true" outlineLevel="0" collapsed="false">
      <c r="A29" s="22"/>
      <c r="B29" s="23" t="s">
        <v>39</v>
      </c>
      <c r="C29" s="23" t="s">
        <v>44</v>
      </c>
      <c r="D29" s="23" t="n">
        <v>1730</v>
      </c>
      <c r="E29" s="23" t="n">
        <v>2081</v>
      </c>
      <c r="F29" s="23" t="n">
        <v>2703</v>
      </c>
      <c r="G29" s="24" t="n">
        <v>0.9772</v>
      </c>
      <c r="H29" s="23" t="s">
        <v>45</v>
      </c>
    </row>
    <row r="30" customFormat="false" ht="15" hidden="false" customHeight="true" outlineLevel="0" collapsed="false">
      <c r="A30" s="22"/>
      <c r="B30" s="23" t="s">
        <v>39</v>
      </c>
      <c r="C30" s="23" t="s">
        <v>46</v>
      </c>
      <c r="D30" s="23" t="n">
        <v>1513</v>
      </c>
      <c r="E30" s="23" t="n">
        <v>2219</v>
      </c>
      <c r="F30" s="23" t="n">
        <v>2521</v>
      </c>
      <c r="G30" s="24" t="n">
        <v>0.9467</v>
      </c>
      <c r="H30" s="23" t="s">
        <v>47</v>
      </c>
    </row>
    <row r="31" customFormat="false" ht="15" hidden="false" customHeight="true" outlineLevel="0" collapsed="false">
      <c r="A31" s="22"/>
      <c r="B31" s="23" t="s">
        <v>39</v>
      </c>
      <c r="C31" s="23" t="s">
        <v>48</v>
      </c>
      <c r="D31" s="23" t="n">
        <v>1513</v>
      </c>
      <c r="E31" s="23" t="n">
        <v>2127</v>
      </c>
      <c r="F31" s="23" t="n">
        <v>2416</v>
      </c>
      <c r="G31" s="24" t="n">
        <v>0.9705</v>
      </c>
      <c r="H31" s="23" t="s">
        <v>49</v>
      </c>
    </row>
    <row r="32" customFormat="false" ht="15" hidden="false" customHeight="true" outlineLevel="0" collapsed="false">
      <c r="A32" s="22"/>
      <c r="B32" s="23" t="s">
        <v>39</v>
      </c>
      <c r="C32" s="23" t="s">
        <v>50</v>
      </c>
      <c r="D32" s="23" t="n">
        <v>1551</v>
      </c>
      <c r="E32" s="23" t="n">
        <v>1981</v>
      </c>
      <c r="F32" s="23" t="n">
        <v>2106</v>
      </c>
      <c r="G32" s="24" t="n">
        <v>0.97494</v>
      </c>
      <c r="H32" s="23" t="s">
        <v>51</v>
      </c>
    </row>
    <row r="33" customFormat="false" ht="15" hidden="false" customHeight="true" outlineLevel="0" collapsed="false">
      <c r="A33" s="22"/>
      <c r="B33" s="23" t="s">
        <v>39</v>
      </c>
      <c r="C33" s="23" t="s">
        <v>52</v>
      </c>
      <c r="D33" s="23" t="n">
        <v>1266</v>
      </c>
      <c r="E33" s="23" t="n">
        <v>1910</v>
      </c>
      <c r="F33" s="23" t="n">
        <v>2031</v>
      </c>
      <c r="G33" s="24" t="n">
        <v>0.97075</v>
      </c>
      <c r="H33" s="23" t="s">
        <v>53</v>
      </c>
    </row>
    <row r="34" customFormat="false" ht="15" hidden="false" customHeight="true" outlineLevel="0" collapsed="false">
      <c r="A34" s="22"/>
      <c r="B34" s="23" t="s">
        <v>39</v>
      </c>
      <c r="C34" s="23" t="s">
        <v>54</v>
      </c>
      <c r="D34" s="23" t="n">
        <v>1551</v>
      </c>
      <c r="E34" s="23" t="n">
        <v>1976</v>
      </c>
      <c r="F34" s="23" t="n">
        <v>2066</v>
      </c>
      <c r="G34" s="24" t="n">
        <v>0.98432</v>
      </c>
      <c r="H34" s="23" t="s">
        <v>55</v>
      </c>
    </row>
    <row r="35" customFormat="false" ht="15" hidden="false" customHeight="true" outlineLevel="0" collapsed="false">
      <c r="A35" s="22"/>
      <c r="B35" s="23" t="s">
        <v>39</v>
      </c>
      <c r="C35" s="23" t="s">
        <v>56</v>
      </c>
      <c r="D35" s="23" t="n">
        <v>1266</v>
      </c>
      <c r="E35" s="23" t="n">
        <v>1891</v>
      </c>
      <c r="F35" s="23" t="n">
        <v>1976</v>
      </c>
      <c r="G35" s="24" t="n">
        <v>0.98135</v>
      </c>
      <c r="H35" s="23" t="s">
        <v>57</v>
      </c>
    </row>
    <row r="36" customFormat="false" ht="15" hidden="false" customHeight="true" outlineLevel="0" collapsed="false">
      <c r="A36" s="22"/>
      <c r="B36" s="23" t="s">
        <v>39</v>
      </c>
      <c r="C36" s="23" t="s">
        <v>58</v>
      </c>
      <c r="D36" s="23" t="n">
        <v>1491</v>
      </c>
      <c r="E36" s="23" t="n">
        <v>1991</v>
      </c>
      <c r="F36" s="23" t="n">
        <v>2086</v>
      </c>
      <c r="G36" s="24" t="n">
        <v>0.9849</v>
      </c>
      <c r="H36" s="23" t="s">
        <v>59</v>
      </c>
    </row>
    <row r="37" customFormat="false" ht="23.25" hidden="false" customHeight="true" outlineLevel="0" collapsed="false">
      <c r="A37" s="22"/>
      <c r="B37" s="23" t="s">
        <v>39</v>
      </c>
      <c r="C37" s="23" t="s">
        <v>60</v>
      </c>
      <c r="D37" s="23" t="n">
        <v>1381</v>
      </c>
      <c r="E37" s="23" t="n">
        <v>2071</v>
      </c>
      <c r="F37" s="23" t="n">
        <v>2241</v>
      </c>
      <c r="G37" s="24" t="n">
        <v>0.97878</v>
      </c>
      <c r="H37" s="23" t="s">
        <v>61</v>
      </c>
    </row>
    <row r="38" customFormat="false" ht="23.25" hidden="false" customHeight="true" outlineLevel="0" collapsed="false">
      <c r="A38" s="22"/>
      <c r="B38" s="23" t="s">
        <v>39</v>
      </c>
      <c r="C38" s="23" t="s">
        <v>62</v>
      </c>
      <c r="D38" s="23" t="n">
        <v>1730</v>
      </c>
      <c r="E38" s="23" t="n">
        <v>2091</v>
      </c>
      <c r="F38" s="23" t="n">
        <v>3203</v>
      </c>
      <c r="G38" s="24" t="n">
        <v>0.973087</v>
      </c>
      <c r="H38" s="23" t="s">
        <v>63</v>
      </c>
    </row>
    <row r="39" customFormat="false" ht="23.25" hidden="false" customHeight="true" outlineLevel="0" collapsed="false">
      <c r="A39" s="22"/>
      <c r="B39" s="23" t="s">
        <v>39</v>
      </c>
      <c r="C39" s="23" t="s">
        <v>64</v>
      </c>
      <c r="D39" s="23" t="n">
        <v>2621</v>
      </c>
      <c r="E39" s="23" t="n">
        <v>2711</v>
      </c>
      <c r="F39" s="23" t="n">
        <v>2761</v>
      </c>
      <c r="G39" s="24" t="n">
        <v>0.992224</v>
      </c>
      <c r="H39" s="23" t="s">
        <v>65</v>
      </c>
    </row>
    <row r="40" customFormat="false" ht="23.25" hidden="false" customHeight="true" outlineLevel="0" collapsed="false">
      <c r="A40" s="22"/>
      <c r="B40" s="23" t="s">
        <v>39</v>
      </c>
      <c r="C40" s="23" t="s">
        <v>66</v>
      </c>
      <c r="D40" s="23" t="n">
        <v>1471</v>
      </c>
      <c r="E40" s="23" t="n">
        <v>1646</v>
      </c>
      <c r="F40" s="23" t="n">
        <v>1716</v>
      </c>
      <c r="G40" s="24" t="n">
        <v>0.986599</v>
      </c>
      <c r="H40" s="23" t="s">
        <v>67</v>
      </c>
    </row>
  </sheetData>
  <mergeCells count="9">
    <mergeCell ref="A1:H1"/>
    <mergeCell ref="A2:H2"/>
    <mergeCell ref="A5:A7"/>
    <mergeCell ref="A8:A11"/>
    <mergeCell ref="A12:A14"/>
    <mergeCell ref="A15:A18"/>
    <mergeCell ref="A19:A22"/>
    <mergeCell ref="A23:A26"/>
    <mergeCell ref="A27:A4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6" min="4" style="0" width="11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25" t="s">
        <v>68</v>
      </c>
      <c r="B1" s="25"/>
      <c r="C1" s="25"/>
      <c r="D1" s="25"/>
      <c r="E1" s="25"/>
      <c r="F1" s="25"/>
      <c r="G1" s="25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</row>
    <row r="4" customFormat="false" ht="15" hidden="false" customHeight="true" outlineLevel="0" collapsed="false">
      <c r="A4" s="26" t="s">
        <v>10</v>
      </c>
      <c r="B4" s="27" t="s">
        <v>11</v>
      </c>
      <c r="C4" s="5" t="s">
        <v>12</v>
      </c>
      <c r="D4" s="28" t="n">
        <f aca="false">('Full Comparison'!D5-'Full Comparison'!D6)/'Full Comparison'!D6</f>
        <v>0.0566893424036281</v>
      </c>
      <c r="E4" s="29" t="s">
        <v>74</v>
      </c>
      <c r="F4" s="28" t="n">
        <f aca="false">('Full Comparison'!F5-'Full Comparison'!F6)/'Full Comparison'!F6</f>
        <v>-0.00681302043906132</v>
      </c>
      <c r="G4" s="30" t="s">
        <v>74</v>
      </c>
    </row>
    <row r="5" customFormat="false" ht="15" hidden="false" customHeight="true" outlineLevel="0" collapsed="false">
      <c r="A5" s="26" t="s">
        <v>10</v>
      </c>
      <c r="B5" s="27" t="s">
        <v>15</v>
      </c>
      <c r="C5" s="5" t="s">
        <v>12</v>
      </c>
      <c r="D5" s="31" t="s">
        <v>75</v>
      </c>
      <c r="E5" s="31" t="s">
        <v>75</v>
      </c>
      <c r="F5" s="31" t="s">
        <v>75</v>
      </c>
      <c r="G5" s="31" t="s">
        <v>75</v>
      </c>
    </row>
    <row r="6" customFormat="false" ht="15" hidden="false" customHeight="true" outlineLevel="0" collapsed="false">
      <c r="A6" s="26" t="s">
        <v>10</v>
      </c>
      <c r="B6" s="27" t="s">
        <v>17</v>
      </c>
      <c r="C6" s="5" t="s">
        <v>12</v>
      </c>
      <c r="D6" s="28" t="n">
        <f aca="false">('Full Comparison'!D7-'Full Comparison'!D6)/'Full Comparison'!D6</f>
        <v>0.59750566893424</v>
      </c>
      <c r="E6" s="28" t="n">
        <f aca="false">('Full Comparison'!E7-'Full Comparison'!E6)/'Full Comparison'!E6</f>
        <v>0.676288659793815</v>
      </c>
      <c r="F6" s="28" t="n">
        <f aca="false">('Full Comparison'!F7-'Full Comparison'!F6)/'Full Comparison'!F6</f>
        <v>0.485238455715367</v>
      </c>
      <c r="G6" s="32" t="n">
        <f aca="false">IF(AND(ISNUMBER('Full Comparison'!G7),ISNUMBER('Full Comparison'!G6)),('Full Comparison'!G7-'Full Comparison'!G6)*100,"n/a")</f>
        <v>0.350000000000006</v>
      </c>
    </row>
    <row r="7" customFormat="false" ht="15" hidden="false" customHeight="true" outlineLevel="0" collapsed="false">
      <c r="A7" s="33" t="s">
        <v>19</v>
      </c>
      <c r="B7" s="34" t="s">
        <v>11</v>
      </c>
      <c r="C7" s="8" t="s">
        <v>12</v>
      </c>
      <c r="D7" s="35" t="s">
        <v>74</v>
      </c>
      <c r="E7" s="35" t="s">
        <v>74</v>
      </c>
      <c r="F7" s="35" t="s">
        <v>74</v>
      </c>
      <c r="G7" s="35" t="s">
        <v>74</v>
      </c>
    </row>
    <row r="8" customFormat="false" ht="15" hidden="false" customHeight="true" outlineLevel="0" collapsed="false">
      <c r="A8" s="33" t="s">
        <v>19</v>
      </c>
      <c r="B8" s="34" t="s">
        <v>15</v>
      </c>
      <c r="C8" s="8" t="s">
        <v>12</v>
      </c>
      <c r="D8" s="35" t="s">
        <v>75</v>
      </c>
      <c r="E8" s="35" t="s">
        <v>75</v>
      </c>
      <c r="F8" s="35" t="s">
        <v>75</v>
      </c>
      <c r="G8" s="35" t="s">
        <v>75</v>
      </c>
    </row>
    <row r="9" customFormat="false" ht="15" hidden="false" customHeight="true" outlineLevel="0" collapsed="false">
      <c r="A9" s="33" t="s">
        <v>19</v>
      </c>
      <c r="B9" s="34" t="s">
        <v>17</v>
      </c>
      <c r="C9" s="8" t="s">
        <v>22</v>
      </c>
      <c r="D9" s="36" t="n">
        <f aca="false">('Full Comparison'!D10-'Full Comparison'!D9)/'Full Comparison'!D9</f>
        <v>-0.707956600361664</v>
      </c>
      <c r="E9" s="36" t="n">
        <f aca="false">('Full Comparison'!E10-'Full Comparison'!E9)/'Full Comparison'!E9</f>
        <v>-0.649446494464945</v>
      </c>
      <c r="F9" s="36" t="n">
        <f aca="false">('Full Comparison'!F10-'Full Comparison'!F9)/'Full Comparison'!F9</f>
        <v>-0.317635270541082</v>
      </c>
      <c r="G9" s="37" t="n">
        <f aca="false">IF(AND(ISNUMBER('Full Comparison'!G10),ISNUMBER('Full Comparison'!G9)),('Full Comparison'!G10-'Full Comparison'!G9)*100,"n/a")</f>
        <v>-0.280000000000002</v>
      </c>
    </row>
    <row r="10" customFormat="false" ht="15" hidden="false" customHeight="true" outlineLevel="0" collapsed="false">
      <c r="A10" s="33" t="s">
        <v>19</v>
      </c>
      <c r="B10" s="34" t="s">
        <v>17</v>
      </c>
      <c r="C10" s="8" t="s">
        <v>24</v>
      </c>
      <c r="D10" s="36" t="n">
        <f aca="false">('Full Comparison'!D11-'Full Comparison'!D9)/'Full Comparison'!D9</f>
        <v>-0.694394213381555</v>
      </c>
      <c r="E10" s="36" t="n">
        <f aca="false">('Full Comparison'!E11-'Full Comparison'!E9)/'Full Comparison'!E9</f>
        <v>-0.662361623616236</v>
      </c>
      <c r="F10" s="36" t="n">
        <f aca="false">('Full Comparison'!F11-'Full Comparison'!F9)/'Full Comparison'!F9</f>
        <v>-0.24749498997996</v>
      </c>
      <c r="G10" s="37" t="n">
        <f aca="false">IF(AND(ISNUMBER('Full Comparison'!G11),ISNUMBER('Full Comparison'!G9)),('Full Comparison'!G11-'Full Comparison'!G9)*100,"n/a")</f>
        <v>-0.3</v>
      </c>
    </row>
    <row r="11" customFormat="false" ht="15" hidden="false" customHeight="true" outlineLevel="0" collapsed="false">
      <c r="A11" s="38" t="s">
        <v>26</v>
      </c>
      <c r="B11" s="39" t="s">
        <v>11</v>
      </c>
      <c r="C11" s="11" t="s">
        <v>12</v>
      </c>
      <c r="D11" s="40" t="n">
        <f aca="false">('Full Comparison'!D12-'Full Comparison'!D13)/'Full Comparison'!D13</f>
        <v>-0.0223048327137546</v>
      </c>
      <c r="E11" s="40" t="n">
        <f aca="false">('Full Comparison'!E12-'Full Comparison'!E13)/'Full Comparison'!E13</f>
        <v>0.0225933202357564</v>
      </c>
      <c r="F11" s="40" t="n">
        <f aca="false">('Full Comparison'!F12-'Full Comparison'!F13)/'Full Comparison'!F13</f>
        <v>0.0115366866635902</v>
      </c>
      <c r="G11" s="41" t="s">
        <v>74</v>
      </c>
    </row>
    <row r="12" customFormat="false" ht="15" hidden="false" customHeight="true" outlineLevel="0" collapsed="false">
      <c r="A12" s="38" t="s">
        <v>26</v>
      </c>
      <c r="B12" s="39" t="s">
        <v>15</v>
      </c>
      <c r="C12" s="11" t="s">
        <v>12</v>
      </c>
      <c r="D12" s="42" t="s">
        <v>75</v>
      </c>
      <c r="E12" s="42" t="s">
        <v>75</v>
      </c>
      <c r="F12" s="42" t="s">
        <v>75</v>
      </c>
      <c r="G12" s="42" t="s">
        <v>75</v>
      </c>
    </row>
    <row r="13" customFormat="false" ht="15" hidden="false" customHeight="true" outlineLevel="0" collapsed="false">
      <c r="A13" s="38" t="s">
        <v>26</v>
      </c>
      <c r="B13" s="39" t="s">
        <v>17</v>
      </c>
      <c r="C13" s="11" t="s">
        <v>12</v>
      </c>
      <c r="D13" s="40" t="n">
        <f aca="false">('Full Comparison'!D14-'Full Comparison'!D13)/'Full Comparison'!D13</f>
        <v>-0.179677819083024</v>
      </c>
      <c r="E13" s="40" t="n">
        <f aca="false">('Full Comparison'!E14-'Full Comparison'!E13)/'Full Comparison'!E13</f>
        <v>0.155697445972495</v>
      </c>
      <c r="F13" s="40" t="n">
        <f aca="false">('Full Comparison'!F14-'Full Comparison'!F13)/'Full Comparison'!F13</f>
        <v>0.332256575911398</v>
      </c>
      <c r="G13" s="43" t="n">
        <f aca="false">IF(AND(ISNUMBER('Full Comparison'!G14),ISNUMBER('Full Comparison'!G13)),('Full Comparison'!G14-'Full Comparison'!G13)*100,"n/a")</f>
        <v>0.919999999999999</v>
      </c>
    </row>
    <row r="14" customFormat="false" ht="15" hidden="false" customHeight="true" outlineLevel="0" collapsed="false">
      <c r="A14" s="44" t="s">
        <v>28</v>
      </c>
      <c r="B14" s="45" t="s">
        <v>11</v>
      </c>
      <c r="C14" s="14" t="s">
        <v>12</v>
      </c>
      <c r="D14" s="46" t="s">
        <v>74</v>
      </c>
      <c r="E14" s="46" t="s">
        <v>74</v>
      </c>
      <c r="F14" s="46" t="s">
        <v>74</v>
      </c>
      <c r="G14" s="46" t="s">
        <v>74</v>
      </c>
    </row>
    <row r="15" customFormat="false" ht="15" hidden="false" customHeight="true" outlineLevel="0" collapsed="false">
      <c r="A15" s="44" t="s">
        <v>28</v>
      </c>
      <c r="B15" s="45" t="s">
        <v>15</v>
      </c>
      <c r="C15" s="14" t="s">
        <v>12</v>
      </c>
      <c r="D15" s="46" t="s">
        <v>75</v>
      </c>
      <c r="E15" s="46" t="s">
        <v>75</v>
      </c>
      <c r="F15" s="46" t="s">
        <v>75</v>
      </c>
      <c r="G15" s="46" t="s">
        <v>75</v>
      </c>
    </row>
    <row r="16" customFormat="false" ht="15" hidden="false" customHeight="true" outlineLevel="0" collapsed="false">
      <c r="A16" s="44" t="s">
        <v>28</v>
      </c>
      <c r="B16" s="45" t="s">
        <v>17</v>
      </c>
      <c r="C16" s="14" t="s">
        <v>12</v>
      </c>
      <c r="D16" s="47" t="n">
        <f aca="false">('Full Comparison'!D17-'Full Comparison'!D16)/'Full Comparison'!D16</f>
        <v>1.92089249492901</v>
      </c>
      <c r="E16" s="47" t="n">
        <f aca="false">('Full Comparison'!E17-'Full Comparison'!E16)/'Full Comparison'!E16</f>
        <v>1.12048192771084</v>
      </c>
      <c r="F16" s="47" t="n">
        <f aca="false">('Full Comparison'!F17-'Full Comparison'!F16)/'Full Comparison'!F16</f>
        <v>0.81447963800905</v>
      </c>
      <c r="G16" s="48" t="n">
        <f aca="false">IF(AND(ISNUMBER('Full Comparison'!G17),ISNUMBER('Full Comparison'!G16)),('Full Comparison'!G17-'Full Comparison'!G16)*100,"n/a")</f>
        <v>-0.359999999999994</v>
      </c>
    </row>
    <row r="17" customFormat="false" ht="15" hidden="false" customHeight="true" outlineLevel="0" collapsed="false">
      <c r="A17" s="44" t="s">
        <v>28</v>
      </c>
      <c r="B17" s="45" t="s">
        <v>30</v>
      </c>
      <c r="C17" s="14" t="s">
        <v>12</v>
      </c>
      <c r="D17" s="47" t="n">
        <f aca="false">('Full Comparison'!D18-'Full Comparison'!D16)/'Full Comparison'!D16</f>
        <v>1.52941176470588</v>
      </c>
      <c r="E17" s="47" t="n">
        <f aca="false">('Full Comparison'!E18-'Full Comparison'!E16)/'Full Comparison'!E16</f>
        <v>1.14190093708166</v>
      </c>
      <c r="F17" s="47" t="n">
        <f aca="false">('Full Comparison'!F18-'Full Comparison'!F16)/'Full Comparison'!F16</f>
        <v>0.865384615384615</v>
      </c>
      <c r="G17" s="48" t="n">
        <f aca="false">IF(AND(ISNUMBER('Full Comparison'!G18),ISNUMBER('Full Comparison'!G16)),('Full Comparison'!G18-'Full Comparison'!G16)*100,"n/a")</f>
        <v>0.260000000000005</v>
      </c>
    </row>
    <row r="18" customFormat="false" ht="15" hidden="false" customHeight="true" outlineLevel="0" collapsed="false">
      <c r="A18" s="49" t="s">
        <v>32</v>
      </c>
      <c r="B18" s="50" t="s">
        <v>11</v>
      </c>
      <c r="C18" s="17" t="s">
        <v>33</v>
      </c>
      <c r="D18" s="51" t="s">
        <v>74</v>
      </c>
      <c r="E18" s="51" t="s">
        <v>74</v>
      </c>
      <c r="F18" s="51" t="s">
        <v>74</v>
      </c>
      <c r="G18" s="51" t="s">
        <v>74</v>
      </c>
    </row>
    <row r="19" customFormat="false" ht="15" hidden="false" customHeight="true" outlineLevel="0" collapsed="false">
      <c r="A19" s="49" t="s">
        <v>32</v>
      </c>
      <c r="B19" s="50" t="s">
        <v>15</v>
      </c>
      <c r="C19" s="17" t="s">
        <v>12</v>
      </c>
      <c r="D19" s="51" t="s">
        <v>75</v>
      </c>
      <c r="E19" s="51" t="s">
        <v>75</v>
      </c>
      <c r="F19" s="51" t="s">
        <v>75</v>
      </c>
      <c r="G19" s="51" t="s">
        <v>75</v>
      </c>
    </row>
    <row r="20" customFormat="false" ht="15" hidden="false" customHeight="true" outlineLevel="0" collapsed="false">
      <c r="A20" s="49" t="s">
        <v>32</v>
      </c>
      <c r="B20" s="50" t="s">
        <v>17</v>
      </c>
      <c r="C20" s="17" t="s">
        <v>12</v>
      </c>
      <c r="D20" s="52" t="n">
        <f aca="false">('Full Comparison'!D21-'Full Comparison'!D20)/'Full Comparison'!D20</f>
        <v>1.01574074074074</v>
      </c>
      <c r="E20" s="52" t="n">
        <f aca="false">('Full Comparison'!E21-'Full Comparison'!E20)/'Full Comparison'!E20</f>
        <v>0.943965517241379</v>
      </c>
      <c r="F20" s="52" t="n">
        <f aca="false">('Full Comparison'!F21-'Full Comparison'!F20)/'Full Comparison'!F20</f>
        <v>0.90495867768595</v>
      </c>
      <c r="G20" s="53" t="n">
        <f aca="false">IF(AND(ISNUMBER('Full Comparison'!G21),ISNUMBER('Full Comparison'!G20)),('Full Comparison'!G21-'Full Comparison'!G20)*100,"n/a")</f>
        <v>2.58</v>
      </c>
    </row>
    <row r="21" customFormat="false" ht="15" hidden="false" customHeight="true" outlineLevel="0" collapsed="false">
      <c r="A21" s="49" t="s">
        <v>32</v>
      </c>
      <c r="B21" s="50" t="s">
        <v>30</v>
      </c>
      <c r="C21" s="17" t="s">
        <v>12</v>
      </c>
      <c r="D21" s="52" t="n">
        <f aca="false">('Full Comparison'!D22-'Full Comparison'!D20)/'Full Comparison'!D20</f>
        <v>1.17314814814815</v>
      </c>
      <c r="E21" s="52" t="n">
        <f aca="false">('Full Comparison'!E22-'Full Comparison'!E20)/'Full Comparison'!E20</f>
        <v>1.11120689655172</v>
      </c>
      <c r="F21" s="52" t="n">
        <f aca="false">('Full Comparison'!F22-'Full Comparison'!F20)/'Full Comparison'!F20</f>
        <v>1.06528925619835</v>
      </c>
      <c r="G21" s="53" t="n">
        <f aca="false">IF(AND(ISNUMBER('Full Comparison'!G22),ISNUMBER('Full Comparison'!G20)),('Full Comparison'!G22-'Full Comparison'!G20)*100,"n/a")</f>
        <v>2.58</v>
      </c>
    </row>
    <row r="22" customFormat="false" ht="15" hidden="false" customHeight="true" outlineLevel="0" collapsed="false">
      <c r="A22" s="54" t="s">
        <v>36</v>
      </c>
      <c r="B22" s="55" t="s">
        <v>11</v>
      </c>
      <c r="C22" s="20" t="s">
        <v>12</v>
      </c>
      <c r="D22" s="56" t="n">
        <f aca="false">('Full Comparison'!D23-'Full Comparison'!D24)/'Full Comparison'!D24</f>
        <v>0.578282828282828</v>
      </c>
      <c r="E22" s="56" t="n">
        <f aca="false">('Full Comparison'!E23-'Full Comparison'!E24)/'Full Comparison'!E24</f>
        <v>0.529193697868397</v>
      </c>
      <c r="F22" s="56" t="n">
        <f aca="false">('Full Comparison'!F23-'Full Comparison'!F24)/'Full Comparison'!F24</f>
        <v>0.948627103631532</v>
      </c>
      <c r="G22" s="57" t="n">
        <f aca="false">IF(AND(ISNUMBER('Full Comparison'!G23),ISNUMBER('Full Comparison'!G24)),('Full Comparison'!G23-'Full Comparison'!G24)*100,"n/a")</f>
        <v>4.57</v>
      </c>
    </row>
    <row r="23" customFormat="false" ht="15" hidden="false" customHeight="true" outlineLevel="0" collapsed="false">
      <c r="A23" s="54" t="s">
        <v>36</v>
      </c>
      <c r="B23" s="55" t="s">
        <v>15</v>
      </c>
      <c r="C23" s="20" t="s">
        <v>12</v>
      </c>
      <c r="D23" s="58" t="s">
        <v>75</v>
      </c>
      <c r="E23" s="58" t="s">
        <v>75</v>
      </c>
      <c r="F23" s="58" t="s">
        <v>75</v>
      </c>
      <c r="G23" s="58" t="s">
        <v>75</v>
      </c>
    </row>
    <row r="24" customFormat="false" ht="15" hidden="false" customHeight="true" outlineLevel="0" collapsed="false">
      <c r="A24" s="54" t="s">
        <v>36</v>
      </c>
      <c r="B24" s="55" t="s">
        <v>17</v>
      </c>
      <c r="C24" s="20" t="s">
        <v>12</v>
      </c>
      <c r="D24" s="56" t="n">
        <f aca="false">('Full Comparison'!D25-'Full Comparison'!D24)/'Full Comparison'!D24</f>
        <v>1.08712121212121</v>
      </c>
      <c r="E24" s="56" t="n">
        <f aca="false">('Full Comparison'!E25-'Full Comparison'!E24)/'Full Comparison'!E24</f>
        <v>0.97775718257646</v>
      </c>
      <c r="F24" s="56" t="n">
        <f aca="false">('Full Comparison'!F25-'Full Comparison'!F24)/'Full Comparison'!F24</f>
        <v>0.934455270150576</v>
      </c>
      <c r="G24" s="57" t="n">
        <f aca="false">IF(AND(ISNUMBER('Full Comparison'!G25),ISNUMBER('Full Comparison'!G24)),('Full Comparison'!G25-'Full Comparison'!G24)*100,"n/a")</f>
        <v>1.25</v>
      </c>
    </row>
    <row r="25" customFormat="false" ht="15" hidden="false" customHeight="true" outlineLevel="0" collapsed="false">
      <c r="A25" s="54" t="s">
        <v>36</v>
      </c>
      <c r="B25" s="55" t="s">
        <v>30</v>
      </c>
      <c r="C25" s="20" t="s">
        <v>12</v>
      </c>
      <c r="D25" s="56" t="n">
        <f aca="false">('Full Comparison'!D26-'Full Comparison'!D24)/'Full Comparison'!D24</f>
        <v>2.15909090909091</v>
      </c>
      <c r="E25" s="56" t="n">
        <f aca="false">('Full Comparison'!E26-'Full Comparison'!E24)/'Full Comparison'!E24</f>
        <v>2.48285449490269</v>
      </c>
      <c r="F25" s="56" t="n">
        <f aca="false">('Full Comparison'!F26-'Full Comparison'!F24)/'Full Comparison'!F24</f>
        <v>2.37289636846767</v>
      </c>
      <c r="G25" s="57" t="n">
        <f aca="false">IF(AND(ISNUMBER('Full Comparison'!G26),ISNUMBER('Full Comparison'!G24)),('Full Comparison'!G26-'Full Comparison'!G24)*100,"n/a")</f>
        <v>1.71</v>
      </c>
    </row>
    <row r="27" customFormat="false" ht="15" hidden="false" customHeight="true" outlineLevel="0" collapsed="false">
      <c r="A27" s="59" t="s">
        <v>76</v>
      </c>
      <c r="B27" s="59"/>
      <c r="C27" s="59"/>
      <c r="D27" s="59"/>
      <c r="E27" s="59"/>
      <c r="F27" s="59"/>
      <c r="G27" s="59"/>
    </row>
    <row r="28" customFormat="false" ht="15" hidden="false" customHeight="true" outlineLevel="0" collapsed="false">
      <c r="A28" s="60" t="s">
        <v>38</v>
      </c>
      <c r="B28" s="61" t="s">
        <v>39</v>
      </c>
      <c r="C28" s="23" t="s">
        <v>40</v>
      </c>
      <c r="D28" s="62" t="s">
        <v>75</v>
      </c>
      <c r="E28" s="62" t="s">
        <v>75</v>
      </c>
      <c r="F28" s="62" t="s">
        <v>75</v>
      </c>
      <c r="G28" s="62" t="s">
        <v>75</v>
      </c>
    </row>
    <row r="29" customFormat="false" ht="15" hidden="false" customHeight="true" outlineLevel="0" collapsed="false">
      <c r="A29" s="60" t="s">
        <v>38</v>
      </c>
      <c r="B29" s="61" t="s">
        <v>39</v>
      </c>
      <c r="C29" s="23" t="s">
        <v>42</v>
      </c>
      <c r="D29" s="63" t="n">
        <f aca="false">('Full Comparison'!D28-'Full Comparison'!D27)/'Full Comparison'!D27</f>
        <v>0.0454545454545455</v>
      </c>
      <c r="E29" s="63" t="n">
        <f aca="false">('Full Comparison'!E28-'Full Comparison'!E27)/'Full Comparison'!E27</f>
        <v>-0.0412926391382406</v>
      </c>
      <c r="F29" s="63" t="n">
        <f aca="false">('Full Comparison'!F28-'Full Comparison'!F27)/'Full Comparison'!F27</f>
        <v>0.0569044006069803</v>
      </c>
      <c r="G29" s="64" t="n">
        <f aca="false">('Full Comparison'!G28-'Full Comparison'!G27)*100</f>
        <v>0.0500000000000056</v>
      </c>
    </row>
    <row r="30" customFormat="false" ht="15" hidden="false" customHeight="true" outlineLevel="0" collapsed="false">
      <c r="A30" s="60" t="s">
        <v>38</v>
      </c>
      <c r="B30" s="61" t="s">
        <v>39</v>
      </c>
      <c r="C30" s="23" t="s">
        <v>44</v>
      </c>
      <c r="D30" s="63" t="n">
        <f aca="false">('Full Comparison'!D29-'Full Comparison'!D27)/'Full Comparison'!D27</f>
        <v>4.24242424242424</v>
      </c>
      <c r="E30" s="63" t="n">
        <f aca="false">('Full Comparison'!E29-'Full Comparison'!E27)/'Full Comparison'!E27</f>
        <v>2.73608617594255</v>
      </c>
      <c r="F30" s="63" t="n">
        <f aca="false">('Full Comparison'!F29-'Full Comparison'!F27)/'Full Comparison'!F27</f>
        <v>1.05083459787557</v>
      </c>
      <c r="G30" s="64" t="n">
        <f aca="false">('Full Comparison'!G29-'Full Comparison'!G27)*100</f>
        <v>-2.02</v>
      </c>
    </row>
    <row r="31" customFormat="false" ht="15" hidden="false" customHeight="true" outlineLevel="0" collapsed="false">
      <c r="A31" s="60" t="s">
        <v>38</v>
      </c>
      <c r="B31" s="61" t="s">
        <v>39</v>
      </c>
      <c r="C31" s="23" t="s">
        <v>46</v>
      </c>
      <c r="D31" s="63" t="n">
        <f aca="false">('Full Comparison'!D30-'Full Comparison'!D27)/'Full Comparison'!D27</f>
        <v>3.58484848484849</v>
      </c>
      <c r="E31" s="63" t="n">
        <f aca="false">('Full Comparison'!E30-'Full Comparison'!E27)/'Full Comparison'!E27</f>
        <v>2.98384201077199</v>
      </c>
      <c r="F31" s="63" t="n">
        <f aca="false">('Full Comparison'!F30-'Full Comparison'!F27)/'Full Comparison'!F27</f>
        <v>0.912746585735964</v>
      </c>
      <c r="G31" s="64" t="n">
        <f aca="false">('Full Comparison'!G30-'Full Comparison'!G27)*100</f>
        <v>-5.07</v>
      </c>
    </row>
    <row r="32" customFormat="false" ht="15" hidden="false" customHeight="true" outlineLevel="0" collapsed="false">
      <c r="A32" s="60" t="s">
        <v>38</v>
      </c>
      <c r="B32" s="61" t="s">
        <v>39</v>
      </c>
      <c r="C32" s="23" t="s">
        <v>48</v>
      </c>
      <c r="D32" s="63" t="n">
        <f aca="false">('Full Comparison'!D31-'Full Comparison'!D27)/'Full Comparison'!D27</f>
        <v>3.58484848484849</v>
      </c>
      <c r="E32" s="63" t="n">
        <f aca="false">('Full Comparison'!E31-'Full Comparison'!E27)/'Full Comparison'!E27</f>
        <v>2.81867145421903</v>
      </c>
      <c r="F32" s="63" t="n">
        <f aca="false">('Full Comparison'!F31-'Full Comparison'!F27)/'Full Comparison'!F27</f>
        <v>0.833080424886191</v>
      </c>
      <c r="G32" s="64" t="n">
        <f aca="false">('Full Comparison'!G31-'Full Comparison'!G27)*100</f>
        <v>-2.68999999999999</v>
      </c>
    </row>
    <row r="33" customFormat="false" ht="15" hidden="false" customHeight="true" outlineLevel="0" collapsed="false">
      <c r="A33" s="60" t="s">
        <v>38</v>
      </c>
      <c r="B33" s="61" t="s">
        <v>39</v>
      </c>
      <c r="C33" s="23" t="s">
        <v>50</v>
      </c>
      <c r="D33" s="63" t="n">
        <f aca="false">('Full Comparison'!D32-'Full Comparison'!D27)/'Full Comparison'!D27</f>
        <v>3.7</v>
      </c>
      <c r="E33" s="63" t="n">
        <f aca="false">('Full Comparison'!E32-'Full Comparison'!E27)/'Full Comparison'!E27</f>
        <v>2.55655296229803</v>
      </c>
      <c r="F33" s="63" t="n">
        <f aca="false">('Full Comparison'!F32-'Full Comparison'!F27)/'Full Comparison'!F27</f>
        <v>0.597875569044006</v>
      </c>
      <c r="G33" s="64" t="n">
        <f aca="false">('Full Comparison'!G32-'Full Comparison'!G27)*100</f>
        <v>-2.24599999999999</v>
      </c>
    </row>
    <row r="34" customFormat="false" ht="15" hidden="false" customHeight="true" outlineLevel="0" collapsed="false">
      <c r="A34" s="60" t="s">
        <v>38</v>
      </c>
      <c r="B34" s="61" t="s">
        <v>39</v>
      </c>
      <c r="C34" s="23" t="s">
        <v>52</v>
      </c>
      <c r="D34" s="63" t="n">
        <f aca="false">('Full Comparison'!D33-'Full Comparison'!D27)/'Full Comparison'!D27</f>
        <v>2.83636363636364</v>
      </c>
      <c r="E34" s="63" t="n">
        <f aca="false">('Full Comparison'!E33-'Full Comparison'!E27)/'Full Comparison'!E27</f>
        <v>2.42908438061041</v>
      </c>
      <c r="F34" s="63" t="n">
        <f aca="false">('Full Comparison'!F33-'Full Comparison'!F27)/'Full Comparison'!F27</f>
        <v>0.540971168437026</v>
      </c>
      <c r="G34" s="64" t="n">
        <f aca="false">('Full Comparison'!G33-'Full Comparison'!G27)*100</f>
        <v>-2.665</v>
      </c>
    </row>
    <row r="35" customFormat="false" ht="15" hidden="false" customHeight="true" outlineLevel="0" collapsed="false">
      <c r="A35" s="60" t="s">
        <v>38</v>
      </c>
      <c r="B35" s="61" t="s">
        <v>39</v>
      </c>
      <c r="C35" s="23" t="s">
        <v>54</v>
      </c>
      <c r="D35" s="63" t="n">
        <f aca="false">('Full Comparison'!D34-'Full Comparison'!D27)/'Full Comparison'!D27</f>
        <v>3.7</v>
      </c>
      <c r="E35" s="63" t="n">
        <f aca="false">('Full Comparison'!E34-'Full Comparison'!E27)/'Full Comparison'!E27</f>
        <v>2.5475763016158</v>
      </c>
      <c r="F35" s="63" t="n">
        <f aca="false">('Full Comparison'!F34-'Full Comparison'!F27)/'Full Comparison'!F27</f>
        <v>0.56752655538695</v>
      </c>
      <c r="G35" s="64" t="n">
        <f aca="false">('Full Comparison'!G34-'Full Comparison'!G27)*100</f>
        <v>-1.308</v>
      </c>
    </row>
    <row r="36" customFormat="false" ht="15" hidden="false" customHeight="true" outlineLevel="0" collapsed="false">
      <c r="A36" s="60" t="s">
        <v>38</v>
      </c>
      <c r="B36" s="61" t="s">
        <v>39</v>
      </c>
      <c r="C36" s="23" t="s">
        <v>56</v>
      </c>
      <c r="D36" s="63" t="n">
        <f aca="false">('Full Comparison'!D35-'Full Comparison'!D27)/'Full Comparison'!D27</f>
        <v>2.83636363636364</v>
      </c>
      <c r="E36" s="63" t="n">
        <f aca="false">('Full Comparison'!E35-'Full Comparison'!E27)/'Full Comparison'!E27</f>
        <v>2.39497307001795</v>
      </c>
      <c r="F36" s="63" t="n">
        <f aca="false">('Full Comparison'!F35-'Full Comparison'!F27)/'Full Comparison'!F27</f>
        <v>0.499241274658574</v>
      </c>
      <c r="G36" s="64" t="n">
        <f aca="false">('Full Comparison'!G35-'Full Comparison'!G27)*100</f>
        <v>-1.605</v>
      </c>
    </row>
    <row r="37" customFormat="false" ht="15" hidden="false" customHeight="true" outlineLevel="0" collapsed="false">
      <c r="A37" s="60" t="s">
        <v>38</v>
      </c>
      <c r="B37" s="61" t="s">
        <v>39</v>
      </c>
      <c r="C37" s="23" t="s">
        <v>58</v>
      </c>
      <c r="D37" s="63" t="n">
        <f aca="false">('Full Comparison'!D36-'Full Comparison'!D27)/'Full Comparison'!D27</f>
        <v>3.51818181818182</v>
      </c>
      <c r="E37" s="63" t="n">
        <f aca="false">('Full Comparison'!E36-'Full Comparison'!E27)/'Full Comparison'!E27</f>
        <v>2.57450628366248</v>
      </c>
      <c r="F37" s="63" t="n">
        <f aca="false">('Full Comparison'!F36-'Full Comparison'!F27)/'Full Comparison'!F27</f>
        <v>0.582701062215478</v>
      </c>
      <c r="G37" s="64" t="n">
        <f aca="false">('Full Comparison'!G36-'Full Comparison'!G27)*100</f>
        <v>-1.25</v>
      </c>
    </row>
    <row r="38" customFormat="false" ht="15" hidden="false" customHeight="true" outlineLevel="0" collapsed="false">
      <c r="A38" s="60" t="s">
        <v>38</v>
      </c>
      <c r="B38" s="61" t="s">
        <v>39</v>
      </c>
      <c r="C38" s="23" t="s">
        <v>60</v>
      </c>
      <c r="D38" s="63" t="n">
        <f aca="false">('Full Comparison'!D37-'Full Comparison'!D27)/'Full Comparison'!D27</f>
        <v>3.18484848484849</v>
      </c>
      <c r="E38" s="63" t="n">
        <f aca="false">('Full Comparison'!E37-'Full Comparison'!E27)/'Full Comparison'!E27</f>
        <v>2.7181328545781</v>
      </c>
      <c r="F38" s="63" t="n">
        <f aca="false">('Full Comparison'!F37-'Full Comparison'!F27)/'Full Comparison'!F27</f>
        <v>0.700303490136571</v>
      </c>
      <c r="G38" s="64" t="n">
        <f aca="false">('Full Comparison'!G37-'Full Comparison'!G27)*100</f>
        <v>-1.862</v>
      </c>
    </row>
    <row r="39" customFormat="false" ht="15" hidden="false" customHeight="true" outlineLevel="0" collapsed="false">
      <c r="A39" s="60" t="s">
        <v>38</v>
      </c>
      <c r="B39" s="61" t="s">
        <v>39</v>
      </c>
      <c r="C39" s="23" t="s">
        <v>62</v>
      </c>
      <c r="D39" s="63" t="n">
        <f aca="false">('Full Comparison'!D38-'Full Comparison'!D27)/'Full Comparison'!D27</f>
        <v>4.24242424242424</v>
      </c>
      <c r="E39" s="63" t="n">
        <f aca="false">('Full Comparison'!E38-'Full Comparison'!E27)/'Full Comparison'!E27</f>
        <v>2.754039497307</v>
      </c>
      <c r="F39" s="63" t="n">
        <f aca="false">('Full Comparison'!F38-'Full Comparison'!F27)/'Full Comparison'!F27</f>
        <v>1.43019726858877</v>
      </c>
      <c r="G39" s="64" t="n">
        <f aca="false">('Full Comparison'!G38-'Full Comparison'!G27)*100</f>
        <v>-2.43129999999999</v>
      </c>
    </row>
    <row r="40" customFormat="false" ht="15" hidden="false" customHeight="true" outlineLevel="0" collapsed="false">
      <c r="A40" s="60" t="s">
        <v>38</v>
      </c>
      <c r="B40" s="61" t="s">
        <v>39</v>
      </c>
      <c r="C40" s="23" t="s">
        <v>64</v>
      </c>
      <c r="D40" s="63" t="n">
        <f aca="false">('Full Comparison'!D39-'Full Comparison'!D27)/'Full Comparison'!D27</f>
        <v>6.94242424242424</v>
      </c>
      <c r="E40" s="63" t="n">
        <f aca="false">('Full Comparison'!E39-'Full Comparison'!E27)/'Full Comparison'!E27</f>
        <v>3.86714542190305</v>
      </c>
      <c r="F40" s="63" t="n">
        <f aca="false">('Full Comparison'!F39-'Full Comparison'!F27)/'Full Comparison'!F27</f>
        <v>1.0948406676783</v>
      </c>
      <c r="G40" s="64" t="n">
        <f aca="false">('Full Comparison'!G39-'Full Comparison'!G27)*100</f>
        <v>-0.517599999999996</v>
      </c>
    </row>
    <row r="41" customFormat="false" ht="15" hidden="false" customHeight="true" outlineLevel="0" collapsed="false">
      <c r="A41" s="60" t="s">
        <v>38</v>
      </c>
      <c r="B41" s="61" t="s">
        <v>39</v>
      </c>
      <c r="C41" s="23" t="s">
        <v>66</v>
      </c>
      <c r="D41" s="63" t="n">
        <f aca="false">('Full Comparison'!D40-'Full Comparison'!D27)/'Full Comparison'!D27</f>
        <v>3.45757575757576</v>
      </c>
      <c r="E41" s="63" t="n">
        <f aca="false">('Full Comparison'!E40-'Full Comparison'!E27)/'Full Comparison'!E27</f>
        <v>1.95511669658887</v>
      </c>
      <c r="F41" s="63" t="n">
        <f aca="false">('Full Comparison'!F40-'Full Comparison'!F27)/'Full Comparison'!F27</f>
        <v>0.301972685887709</v>
      </c>
      <c r="G41" s="64" t="n">
        <f aca="false">('Full Comparison'!G40-'Full Comparison'!G27)*100</f>
        <v>-1.0801</v>
      </c>
    </row>
  </sheetData>
  <mergeCells count="2">
    <mergeCell ref="A1:G1"/>
    <mergeCell ref="A27:G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5" t="s">
        <v>77</v>
      </c>
    </row>
    <row r="2" customFormat="false" ht="26.85" hidden="false" customHeight="false" outlineLevel="0" collapsed="false">
      <c r="A2" s="66" t="s">
        <v>69</v>
      </c>
      <c r="B2" s="66" t="s">
        <v>78</v>
      </c>
      <c r="C2" s="66" t="s">
        <v>79</v>
      </c>
      <c r="D2" s="66" t="s">
        <v>80</v>
      </c>
      <c r="E2" s="66" t="s">
        <v>81</v>
      </c>
      <c r="F2" s="66" t="s">
        <v>8</v>
      </c>
      <c r="G2" s="66" t="s">
        <v>82</v>
      </c>
      <c r="H2" s="66" t="s">
        <v>83</v>
      </c>
      <c r="I2" s="66" t="s">
        <v>84</v>
      </c>
      <c r="J2" s="66" t="s">
        <v>85</v>
      </c>
    </row>
    <row r="3" customFormat="false" ht="15" hidden="false" customHeight="false" outlineLevel="0" collapsed="false">
      <c r="A3" s="67" t="s">
        <v>86</v>
      </c>
      <c r="B3" s="67" t="s">
        <v>12</v>
      </c>
      <c r="C3" s="67" t="n">
        <v>2621</v>
      </c>
      <c r="D3" s="67" t="n">
        <v>2711</v>
      </c>
      <c r="E3" s="67" t="n">
        <v>2761</v>
      </c>
      <c r="F3" s="68" t="n">
        <v>0.992224</v>
      </c>
      <c r="G3" s="69" t="n">
        <v>268610</v>
      </c>
      <c r="H3" s="67" t="s">
        <v>87</v>
      </c>
      <c r="I3" s="67" t="n">
        <v>26</v>
      </c>
      <c r="J3" s="67" t="n">
        <v>118986</v>
      </c>
    </row>
    <row r="4" customFormat="false" ht="15" hidden="false" customHeight="false" outlineLevel="0" collapsed="false">
      <c r="A4" s="70" t="s">
        <v>88</v>
      </c>
      <c r="B4" s="70" t="s">
        <v>89</v>
      </c>
      <c r="C4" s="70" t="n">
        <v>2621</v>
      </c>
      <c r="D4" s="70" t="n">
        <v>2711</v>
      </c>
      <c r="E4" s="70" t="n">
        <v>2761</v>
      </c>
      <c r="F4" s="71" t="n">
        <v>0.992224</v>
      </c>
      <c r="G4" s="72" t="n">
        <v>268610</v>
      </c>
      <c r="H4" s="70" t="s">
        <v>87</v>
      </c>
      <c r="I4" s="70" t="n">
        <v>26</v>
      </c>
      <c r="J4" s="70" t="n">
        <v>118986</v>
      </c>
    </row>
    <row r="5" customFormat="false" ht="15" hidden="false" customHeight="false" outlineLevel="0" collapsed="false">
      <c r="A5" s="67" t="s">
        <v>90</v>
      </c>
      <c r="B5" s="67" t="s">
        <v>91</v>
      </c>
      <c r="C5" s="67" t="n">
        <v>2585</v>
      </c>
      <c r="D5" s="67" t="n">
        <v>2726</v>
      </c>
      <c r="E5" s="67" t="n">
        <v>2766</v>
      </c>
      <c r="F5" s="68" t="n">
        <v>0.989804</v>
      </c>
      <c r="G5" s="69" t="n">
        <v>268509</v>
      </c>
      <c r="H5" s="67" t="s">
        <v>92</v>
      </c>
      <c r="I5" s="67" t="n">
        <v>0</v>
      </c>
      <c r="J5" s="67" t="n">
        <v>118748</v>
      </c>
    </row>
    <row r="6" customFormat="false" ht="15" hidden="false" customHeight="false" outlineLevel="0" collapsed="false">
      <c r="A6" s="70" t="s">
        <v>93</v>
      </c>
      <c r="B6" s="70" t="s">
        <v>94</v>
      </c>
      <c r="C6" s="70" t="n">
        <v>2621</v>
      </c>
      <c r="D6" s="70" t="n">
        <v>2711</v>
      </c>
      <c r="E6" s="70" t="n">
        <v>2761</v>
      </c>
      <c r="F6" s="71" t="n">
        <v>0.992224</v>
      </c>
      <c r="G6" s="72" t="n">
        <v>268610</v>
      </c>
      <c r="H6" s="70" t="s">
        <v>87</v>
      </c>
      <c r="I6" s="70" t="n">
        <v>26</v>
      </c>
      <c r="J6" s="70" t="n">
        <v>118986</v>
      </c>
    </row>
    <row r="7" customFormat="false" ht="15" hidden="false" customHeight="false" outlineLevel="0" collapsed="false">
      <c r="A7" s="67" t="s">
        <v>95</v>
      </c>
      <c r="B7" s="67" t="s">
        <v>96</v>
      </c>
      <c r="C7" s="67" t="n">
        <v>1821</v>
      </c>
      <c r="D7" s="67" t="n">
        <v>2001</v>
      </c>
      <c r="E7" s="67" t="n">
        <v>2076</v>
      </c>
      <c r="F7" s="68" t="n">
        <v>0.993171</v>
      </c>
      <c r="G7" s="69" t="n">
        <v>198218</v>
      </c>
      <c r="H7" s="67" t="s">
        <v>97</v>
      </c>
      <c r="I7" s="67" t="n">
        <v>37</v>
      </c>
      <c r="J7" s="67" t="n">
        <v>0</v>
      </c>
    </row>
    <row r="8" customFormat="false" ht="15" hidden="false" customHeight="false" outlineLevel="0" collapsed="false">
      <c r="A8" s="70" t="s">
        <v>98</v>
      </c>
      <c r="B8" s="70" t="s">
        <v>99</v>
      </c>
      <c r="C8" s="70" t="n">
        <v>2171</v>
      </c>
      <c r="D8" s="70" t="n">
        <v>2641</v>
      </c>
      <c r="E8" s="70" t="n">
        <v>2746</v>
      </c>
      <c r="F8" s="71" t="n">
        <v>0.990522</v>
      </c>
      <c r="G8" s="72" t="n">
        <v>258228</v>
      </c>
      <c r="H8" s="70" t="s">
        <v>100</v>
      </c>
      <c r="I8" s="70" t="n">
        <v>18</v>
      </c>
      <c r="J8" s="70" t="n">
        <v>92706</v>
      </c>
    </row>
    <row r="9" customFormat="false" ht="15" hidden="false" customHeight="false" outlineLevel="0" collapsed="false">
      <c r="A9" s="67" t="s">
        <v>101</v>
      </c>
      <c r="B9" s="67" t="s">
        <v>102</v>
      </c>
      <c r="C9" s="67" t="n">
        <v>1730</v>
      </c>
      <c r="D9" s="67" t="n">
        <v>2086</v>
      </c>
      <c r="E9" s="67" t="n">
        <v>2166</v>
      </c>
      <c r="F9" s="68" t="n">
        <v>0.98163</v>
      </c>
      <c r="G9" s="69" t="n">
        <v>201565</v>
      </c>
      <c r="H9" s="67" t="s">
        <v>103</v>
      </c>
      <c r="I9" s="67" t="n">
        <v>0</v>
      </c>
      <c r="J9" s="67" t="n">
        <v>0</v>
      </c>
    </row>
    <row r="10" customFormat="false" ht="15" hidden="false" customHeight="false" outlineLevel="0" collapsed="false">
      <c r="A10" s="73" t="s">
        <v>104</v>
      </c>
    </row>
    <row r="12" customFormat="false" ht="15" hidden="false" customHeight="false" outlineLevel="0" collapsed="false">
      <c r="A12" s="65" t="s">
        <v>105</v>
      </c>
    </row>
    <row r="13" customFormat="false" ht="15" hidden="false" customHeight="false" outlineLevel="0" collapsed="false">
      <c r="A13" s="66" t="s">
        <v>69</v>
      </c>
      <c r="B13" s="66" t="s">
        <v>106</v>
      </c>
      <c r="C13" s="66" t="s">
        <v>79</v>
      </c>
      <c r="D13" s="66" t="s">
        <v>80</v>
      </c>
      <c r="E13" s="66" t="s">
        <v>81</v>
      </c>
      <c r="F13" s="66" t="s">
        <v>8</v>
      </c>
    </row>
    <row r="14" customFormat="false" ht="15" hidden="false" customHeight="false" outlineLevel="0" collapsed="false">
      <c r="A14" s="67" t="s">
        <v>107</v>
      </c>
      <c r="B14" s="67" t="s">
        <v>108</v>
      </c>
      <c r="C14" s="67" t="n">
        <v>1688</v>
      </c>
      <c r="D14" s="67" t="n">
        <v>2119</v>
      </c>
      <c r="E14" s="67" t="n">
        <v>2374</v>
      </c>
      <c r="F14" s="68" t="n">
        <v>0.9756</v>
      </c>
    </row>
    <row r="15" customFormat="false" ht="15" hidden="false" customHeight="false" outlineLevel="0" collapsed="false">
      <c r="A15" s="70" t="s">
        <v>109</v>
      </c>
      <c r="B15" s="70" t="s">
        <v>108</v>
      </c>
      <c r="C15" s="70" t="n">
        <v>2618</v>
      </c>
      <c r="D15" s="70" t="n">
        <v>2720</v>
      </c>
      <c r="E15" s="70" t="n">
        <v>2766</v>
      </c>
      <c r="F15" s="71" t="n">
        <v>0.9926</v>
      </c>
    </row>
    <row r="16" customFormat="false" ht="15" hidden="false" customHeight="false" outlineLevel="0" collapsed="false">
      <c r="A16" s="67" t="s">
        <v>107</v>
      </c>
      <c r="B16" s="67" t="s">
        <v>110</v>
      </c>
      <c r="C16" s="67" t="n">
        <v>1152</v>
      </c>
      <c r="D16" s="67" t="n">
        <v>1674</v>
      </c>
      <c r="E16" s="67" t="n">
        <v>2001</v>
      </c>
      <c r="F16" s="68" t="n">
        <v>0.9772</v>
      </c>
    </row>
    <row r="17" customFormat="false" ht="15" hidden="false" customHeight="false" outlineLevel="0" collapsed="false">
      <c r="A17" s="70" t="s">
        <v>109</v>
      </c>
      <c r="B17" s="70" t="s">
        <v>110</v>
      </c>
      <c r="C17" s="70" t="n">
        <v>1487</v>
      </c>
      <c r="D17" s="70" t="n">
        <v>1673</v>
      </c>
      <c r="E17" s="70" t="n">
        <v>1732</v>
      </c>
      <c r="F17" s="71" t="n">
        <v>0.9882</v>
      </c>
    </row>
    <row r="18" customFormat="false" ht="15" hidden="false" customHeight="false" outlineLevel="0" collapsed="false">
      <c r="A18" s="7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2026-09-19T19:40:43Z</dcterms:created>
  <dc:creator>openpyxl</dc:creator>
  <dc:description/>
  <dc:language>en-US</dc:language>
  <cp:lastModifiedBy>RAHMA</cp:lastModifiedBy>
  <dcterms:modified xsi:type="dcterms:W3CDTF">2026-09-23T20:23:51Z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