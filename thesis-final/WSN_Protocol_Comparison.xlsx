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shboard" sheetId="2" state="visible" r:id="rId4"/>
    <sheet name="Unified Comparison" sheetId="3" state="visible" r:id="rId5"/>
    <sheet name="Reproduction" sheetId="4" state="visible" r:id="rId6"/>
    <sheet name="Proposed Evolution" sheetId="5" state="visible" r:id="rId7"/>
    <sheet name="Center vs Far BS" sheetId="6" state="visible" r:id="rId8"/>
    <sheet name="v8 Analysi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<sst xmlns="http://schemas.openxmlformats.org/spreadsheetml/2006/main" count="433" uniqueCount="263">
  <si>
    <t xml:space="preserve">WSN Clustering Protocols — Comparison Workbook</t>
  </si>
  <si>
    <t xml:space="preserve">Energy-Efficient Secure Clustering in WSNs Using Hybrid Cryptography — Eng. Rahma Khaled Oshba</t>
  </si>
  <si>
    <t xml:space="preserve">How to read this workbook</t>
  </si>
  <si>
    <t xml:space="preserve">Dashboard</t>
  </si>
  <si>
    <t xml:space="preserve">Headline results and charts: the best configuration of every protocol family side by side.</t>
  </si>
  <si>
    <t xml:space="preserve">Unified Comparison</t>
  </si>
  <si>
    <t xml:space="preserve">Every protocol and every proposed version in the SAME environment (100 nodes, 100×100 m, BS center). Ranks and deltas are formulas.</t>
  </si>
  <si>
    <t xml:space="preserve">Reproduction</t>
  </si>
  <si>
    <t xml:space="preserve">Published paper numbers vs. our paper-exact reproduction vs. the unified environment, with gaps as formulas.</t>
  </si>
  <si>
    <t xml:space="preserve">Proposed Evolution</t>
  </si>
  <si>
    <t xml:space="preserve">v1 → v8-Chain, one mechanism change per version; Δ vs. previous version and vs. v1 are formulas.</t>
  </si>
  <si>
    <t xml:space="preserve">Center vs Far BS</t>
  </si>
  <si>
    <t xml:space="preserve">The same protocol with the BS at the field center (50,50) and far away (50,−100).</t>
  </si>
  <si>
    <t xml:space="preserve">v8 Analysis</t>
  </si>
  <si>
    <t xml:space="preserve">Leave-one-out ablation, CH routing-mode comparison and 8-topology robustness of the final protocol.</t>
  </si>
  <si>
    <t xml:space="preserve">Conventions</t>
  </si>
  <si>
    <t xml:space="preserve">Red header</t>
  </si>
  <si>
    <t xml:space="preserve">Simulation output (entered values).</t>
  </si>
  <si>
    <t xml:space="preserve">Charcoal header</t>
  </si>
  <si>
    <t xml:space="preserve">Calculated column (formula) — do not type over it.</t>
  </si>
  <si>
    <t xml:space="preserve">Pink row</t>
  </si>
  <si>
    <t xml:space="preserve">Final proposed protocol (v8 / v8-Chain).</t>
  </si>
  <si>
    <t xml:space="preserve">FND / HND / LND</t>
  </si>
  <si>
    <t xml:space="preserve">Round in which the first / half / last node died (higher is better).</t>
  </si>
  <si>
    <t xml:space="preserve">PDR</t>
  </si>
  <si>
    <t xml:space="preserve">Packets delivered to the BS ÷ packets generated over the whole lifetime.</t>
  </si>
  <si>
    <t xml:space="preserve">Simulation environment</t>
  </si>
  <si>
    <t xml:space="preserve">Network size</t>
  </si>
  <si>
    <t xml:space="preserve">100 nodes</t>
  </si>
  <si>
    <t xml:space="preserve">Field</t>
  </si>
  <si>
    <t xml:space="preserve">100 × 100 m</t>
  </si>
  <si>
    <t xml:space="preserve">Initial energy E0</t>
  </si>
  <si>
    <t xml:space="preserve">0.5 J / node</t>
  </si>
  <si>
    <t xml:space="preserve">Packet size</t>
  </si>
  <si>
    <t xml:space="preserve">2000 bits (control 200 bits)</t>
  </si>
  <si>
    <t xml:space="preserve">Data rate</t>
  </si>
  <si>
    <t xml:space="preserve">250 kbps</t>
  </si>
  <si>
    <t xml:space="preserve">BS position</t>
  </si>
  <si>
    <t xml:space="preserve">(50, 50) center; far scenario (50, −100)</t>
  </si>
  <si>
    <t xml:space="preserve">Communication range</t>
  </si>
  <si>
    <t xml:space="preserve">25 m</t>
  </si>
  <si>
    <t xml:space="preserve">Radio model</t>
  </si>
  <si>
    <t xml:space="preserve">First-order, two-slope (d² / d⁴)</t>
  </si>
  <si>
    <t xml:space="preserve">E_elec</t>
  </si>
  <si>
    <t xml:space="preserve">50 nJ/bit</t>
  </si>
  <si>
    <t xml:space="preserve">E_fs</t>
  </si>
  <si>
    <t xml:space="preserve">10 pJ/bit/m²</t>
  </si>
  <si>
    <t xml:space="preserve">E_mp</t>
  </si>
  <si>
    <t xml:space="preserve">0.0013 pJ/bit/m⁴</t>
  </si>
  <si>
    <t xml:space="preserve">E_DA</t>
  </si>
  <si>
    <t xml:space="preserve">5 nJ/bit/signal</t>
  </si>
  <si>
    <t xml:space="preserve">d0 = √(E_fs/E_mp)</t>
  </si>
  <si>
    <t xml:space="preserve">≈ 87.7 m</t>
  </si>
  <si>
    <t xml:space="preserve">Random seed</t>
  </si>
  <si>
    <t xml:space="preserve">12345 (robustness: 8 seeds)</t>
  </si>
  <si>
    <t xml:space="preserve">Simulator</t>
  </si>
  <si>
    <t xml:space="preserve">ns-3.41, C++ (analytical energy model)</t>
  </si>
  <si>
    <t xml:space="preserve">References</t>
  </si>
  <si>
    <t xml:space="preserve">[1]</t>
  </si>
  <si>
    <t xml:space="preserve">W. R. Heinzelman, A. Chandrakasan and H. Balakrishnan, “Energy-Efficient Communication Protocol for Wireless Microsensor Networks,” Proc. HICSS, 2000.</t>
  </si>
  <si>
    <t xml:space="preserve">[2]</t>
  </si>
  <si>
    <t xml:space="preserve">O. Younis and S. Fahmy, “HEED: A Hybrid, Energy-Efficient, Distributed Clustering Approach for Ad Hoc Sensor Networks,” IEEE Trans. Mobile Computing, 2004.</t>
  </si>
  <si>
    <t xml:space="preserve">[3]</t>
  </si>
  <si>
    <t xml:space="preserve">S. Lindsey and C. S. Raghavendra, “PEGASIS: Power-Efficient Gathering in Sensor Information Systems,” Proc. IEEE Aerospace Conference, 2002.</t>
  </si>
  <si>
    <t xml:space="preserve">[4]</t>
  </si>
  <si>
    <t xml:space="preserve">Shrestha, Kim, Jung and Lee, “The Improved Energy Efficient LEACH Protocol Technology of WSNs,” IJIBC, 2015.</t>
  </si>
  <si>
    <t xml:space="preserve">[5]</t>
  </si>
  <si>
    <t xml:space="preserve">A. Razaque, M. Mudigulam, K. Gavini, F. Amsaad, M. Abdulgader and P. Krishna, “H-LEACH: Hybrid-Low Energy Adaptive Clustering Hierarchy for Wireless Sensor Networks,” Proc. IEEE LISAT, 2016.</t>
  </si>
  <si>
    <t xml:space="preserve">[6]</t>
  </si>
  <si>
    <t xml:space="preserve">Kaur, Kour and Singh, “EECH-HEED: An Adaptive Hybrid Clustering Protocol for Energy Efficient Soil Monitoring,” Scientific Reports, 2025.</t>
  </si>
  <si>
    <t xml:space="preserve">[7]</t>
  </si>
  <si>
    <t xml:space="preserve">Subedi, Acharya, Lee and Lee, “Two-Level Clustering Algorithm for Cluster Head Selection in Randomly Deployed WSNs,” Telecom (MDPI), 2024.</t>
  </si>
  <si>
    <t xml:space="preserve">[8]</t>
  </si>
  <si>
    <t xml:space="preserve">Juwaied and Jackowska-Strumillo, “DL-HEED: A Deep Learning Approach to Energy-Efficient Clustering in Heterogeneous WSNs,” Applied Sciences (MDPI), 2025.</t>
  </si>
  <si>
    <t xml:space="preserve">[9]</t>
  </si>
  <si>
    <t xml:space="preserve">El-Sayed, Abd-Elgaber and Refaay, “An Intelligent RL Enhanced Improved LEACH Protocol for Prolonging WSN Lifetime,” Scientific Reports, 2026.</t>
  </si>
  <si>
    <t xml:space="preserve">[10]</t>
  </si>
  <si>
    <t xml:space="preserve">J. Jassbi and S. Moridi, “Fault Tolerance and Energy Efficient Clustering Algorithm in Wireless Sensor Networks: FTEC,” Wireless Personal Communications, 2019. doi:10.1007/s11277-019-06281-6</t>
  </si>
  <si>
    <t xml:space="preserve">[11]</t>
  </si>
  <si>
    <t xml:space="preserve">R. Pachlor, D. Shrimankar, K. K. Nagwanshi and M. Paliwal, “Cluster-Head Rotation Approaches in Sensor Networks: A Review,” arXiv:2206.08892, 2022.</t>
  </si>
  <si>
    <t xml:space="preserve">[12]</t>
  </si>
  <si>
    <t xml:space="preserve">C. Li, M. Ye, G. Chen and J. Wu, “An Energy-Efficient Unequal Clustering Mechanism for Wireless Sensor Networks,” Proc. IEEE MASS, 2005.</t>
  </si>
  <si>
    <t xml:space="preserve">[13]</t>
  </si>
  <si>
    <t xml:space="preserve">V. Chauhan and S. Soni, “Energy Aware Unequal Clustering Algorithm with Multi-hop Routing via Low Degree Relay Nodes for Wireless Sensor Networks,” J. Ambient Intelligence and Humanized Computing, vol. 12, pp. 2469–2482, 2021. doi:10.1007/s12652-020-02385-1</t>
  </si>
  <si>
    <t xml:space="preserve">[14]</t>
  </si>
  <si>
    <t xml:space="preserve">W. B. Heinzelman, A. P. Chandrakasan and H. Balakrishnan, “An Application-Specific Protocol Architecture for Wireless Microsensor Networks,” IEEE Trans. Wireless Communications, 2002.</t>
  </si>
  <si>
    <t xml:space="preserve">[15]</t>
  </si>
  <si>
    <t xml:space="preserve">ns-3 Network Simulator, release 3.41, https://www.nsnam.org</t>
  </si>
  <si>
    <t xml:space="preserve">Dashboard — best configuration of each family (BS center)</t>
  </si>
  <si>
    <t xml:space="preserve">Values are pulled from "Unified Comparison" with INDEX/MATCH, so they update if that sheet changes.</t>
  </si>
  <si>
    <t xml:space="preserve">Protocol</t>
  </si>
  <si>
    <t xml:space="preserve">Stage</t>
  </si>
  <si>
    <t xml:space="preserve">FND</t>
  </si>
  <si>
    <t xml:space="preserve">HND</t>
  </si>
  <si>
    <t xml:space="preserve">LND</t>
  </si>
  <si>
    <t xml:space="preserve">LEACH</t>
  </si>
  <si>
    <t xml:space="preserve">Edited</t>
  </si>
  <si>
    <t xml:space="preserve">HEED</t>
  </si>
  <si>
    <t xml:space="preserve">PEGASIS</t>
  </si>
  <si>
    <t xml:space="preserve">SH-LEACH</t>
  </si>
  <si>
    <t xml:space="preserve">Improved</t>
  </si>
  <si>
    <t xml:space="preserve">H-LEACH</t>
  </si>
  <si>
    <t xml:space="preserve">v3</t>
  </si>
  <si>
    <t xml:space="preserve">Proposed</t>
  </si>
  <si>
    <t xml:space="preserve">v7 (Center)</t>
  </si>
  <si>
    <t xml:space="preserve">v7.1 Multihop (Int 5)</t>
  </si>
  <si>
    <t xml:space="preserve">v8-Chain (Center)</t>
  </si>
  <si>
    <t xml:space="preserve">Headline</t>
  </si>
  <si>
    <t xml:space="preserve">v8-Chain FND vs best literature hybrid (H-LEACH Improved)</t>
  </si>
  <si>
    <t xml:space="preserve">v8-Chain FND vs LEACH</t>
  </si>
  <si>
    <t xml:space="preserve">v8-Chain PDR vs v7 (Center)</t>
  </si>
  <si>
    <t xml:space="preserve">v8-Chain Far-BS FND vs v7 Far-BS</t>
  </si>
  <si>
    <t xml:space="preserve">Unified-environment comparison (BS at field center)</t>
  </si>
  <si>
    <t xml:space="preserve">All rows: 100 nodes, 100×100 m, E0 = 0.5 J, 2000-bit packets, two-slope radio, seed 12345. Rank 1 = best.</t>
  </si>
  <si>
    <t xml:space="preserve">Family</t>
  </si>
  <si>
    <t xml:space="preserve">Protocol / Version</t>
  </si>
  <si>
    <t xml:space="preserve">Mechanism</t>
  </si>
  <si>
    <t xml:space="preserve">LND vs LEACH</t>
  </si>
  <si>
    <t xml:space="preserve">FND ÷ LND (balance)</t>
  </si>
  <si>
    <t xml:space="preserve">Rank LND</t>
  </si>
  <si>
    <t xml:space="preserve">Rank PDR</t>
  </si>
  <si>
    <t xml:space="preserve">Baseline</t>
  </si>
  <si>
    <t xml:space="preserve">Randomised CH rotation</t>
  </si>
  <si>
    <t xml:space="preserve">Iterative energy + cost CH negotiation</t>
  </si>
  <si>
    <t xml:space="preserve">HEED (fairness)</t>
  </si>
  <si>
    <t xml:space="preserve">Edited + variant</t>
  </si>
  <si>
    <t xml:space="preserve">+ rotation-fairness penalty</t>
  </si>
  <si>
    <t xml:space="preserve">Greedy chain, rotating leader</t>
  </si>
  <si>
    <t xml:space="preserve">Literature hybrid</t>
  </si>
  <si>
    <t xml:space="preserve">LEACH + HEED, single doubling</t>
  </si>
  <si>
    <t xml:space="preserve">True iterative doubling, Cprob 0.10→0.03</t>
  </si>
  <si>
    <t xml:space="preserve">Energy gate 1.0× average</t>
  </si>
  <si>
    <t xml:space="preserve">Energy gate relaxed to 0.8×</t>
  </si>
  <si>
    <t xml:space="preserve">Context</t>
  </si>
  <si>
    <t xml:space="preserve">EECH-HEED</t>
  </si>
  <si>
    <t xml:space="preserve">HEED + EECH (not LEACH+HEED)</t>
  </si>
  <si>
    <t xml:space="preserve">+ adaptive threshold-based sensing (transmits less)</t>
  </si>
  <si>
    <t xml:space="preserve">v1</t>
  </si>
  <si>
    <t xml:space="preserve">HEED-style CH selection + LEACH clustering, no reuse</t>
  </si>
  <si>
    <t xml:space="preserve">v2</t>
  </si>
  <si>
    <t xml:space="preserve">Single-pass energy × connectivity score + 5-round reuse</t>
  </si>
  <si>
    <t xml:space="preserve">v4</t>
  </si>
  <si>
    <t xml:space="preserve">Setup interval 5 → 15 rounds</t>
  </si>
  <si>
    <t xml:space="preserve">v5</t>
  </si>
  <si>
    <t xml:space="preserve">+ Backup CH failover</t>
  </si>
  <si>
    <t xml:space="preserve">v5-exp (Int 5)</t>
  </si>
  <si>
    <t xml:space="preserve">Interval 5 + Backup + Cluster Repair</t>
  </si>
  <si>
    <t xml:space="preserve">v5-exp (Int 10)</t>
  </si>
  <si>
    <t xml:space="preserve">Interval 10 + Backup + Cluster Repair</t>
  </si>
  <si>
    <t xml:space="preserve">v6 (Center)</t>
  </si>
  <si>
    <t xml:space="preserve">CH-to-CH ordered chain</t>
  </si>
  <si>
    <t xml:space="preserve">Chain + Backup + Chain Repair</t>
  </si>
  <si>
    <t xml:space="preserve">Greedy multihop tree + Backup + Routing Repair</t>
  </si>
  <si>
    <t xml:space="preserve">v7.2 Multihop (Int 10)</t>
  </si>
  <si>
    <t xml:space="preserve">Same multihop, interval 10</t>
  </si>
  <si>
    <t xml:space="preserve">v5b (Energy-Aware)</t>
  </si>
  <si>
    <t xml:space="preserve">v5-exp + Energy-Aware Repair (5% of E0) — LND inflated</t>
  </si>
  <si>
    <t xml:space="preserve">v8 (Center)</t>
  </si>
  <si>
    <t xml:space="preserve">v5b + I1–I5 + relative low-energy threshold</t>
  </si>
  <si>
    <t xml:space="preserve">v8 + energy-aware CH relay (0 relays)</t>
  </si>
  <si>
    <t xml:space="preserve">LND vs LEACH uses LEACH (Edited) as the reference. FND ÷ LND close to 1 means nodes die close together (balanced load). v5b LND is inflated by stranded, silent nodes (its last 1038 rounds delivered 59 packets).</t>
  </si>
  <si>
    <t xml:space="preserve">Published results vs. our reproductions</t>
  </si>
  <si>
    <t xml:space="preserve">Published = as reported in each original paper (different settings per paper). Paper-exact = our code in the paper's own settings. Unified = our code in the common environment.</t>
  </si>
  <si>
    <t xml:space="preserve">Published FND</t>
  </si>
  <si>
    <t xml:space="preserve">Published LND</t>
  </si>
  <si>
    <t xml:space="preserve">Paper-exact FND</t>
  </si>
  <si>
    <t xml:space="preserve">Paper-exact HND</t>
  </si>
  <si>
    <t xml:space="preserve">Paper-exact LND</t>
  </si>
  <si>
    <t xml:space="preserve">Paper-exact PDR</t>
  </si>
  <si>
    <t xml:space="preserve">Unified FND</t>
  </si>
  <si>
    <t xml:space="preserve">Unified HND</t>
  </si>
  <si>
    <t xml:space="preserve">Unified LND</t>
  </si>
  <si>
    <t xml:space="preserve">Unified PDR</t>
  </si>
  <si>
    <t xml:space="preserve">Paper-exact vs Published (LND)</t>
  </si>
  <si>
    <t xml:space="preserve">Unified vs Paper-exact (LND)</t>
  </si>
  <si>
    <t xml:space="preserve">Paper-exact settings</t>
  </si>
  <si>
    <t xml:space="preserve">Published source</t>
  </si>
  <si>
    <t xml:space="preserve">50×50 m, far BS, single-term radio, setup cost not charged (as in paper)</t>
  </si>
  <si>
    <t xml:space="preserve">Heinzelman et al., 2000 — Table 2 (0.5 J)</t>
  </si>
  <si>
    <t xml:space="preserve">n/a</t>
  </si>
  <si>
    <t xml:space="preserve">graph only</t>
  </si>
  <si>
    <t xml:space="preserve">N = 500, sink (50,175), E0 = 2 J, 125-byte packet, 5 frames/round</t>
  </si>
  <si>
    <t xml:space="preserve">Younis &amp; Fahmy, 2004 — graph only (Fig. 8a/8b)</t>
  </si>
  <si>
    <t xml:space="preserve">50×50 m, far BS, single-term radio</t>
  </si>
  <si>
    <t xml:space="preserve">Lindsey &amp; Raghavendra, 2002 — Table 1 (50×50 m)</t>
  </si>
  <si>
    <t xml:space="preserve">N = 100, Cprob = 0.10</t>
  </si>
  <si>
    <t xml:space="preserve">Shrestha et al., 2015 — graph only (Fig. 2)</t>
  </si>
  <si>
    <t xml:space="preserve">With required fallback (literal gate deadlocks)</t>
  </si>
  <si>
    <t xml:space="preserve">Razaque et al., 2016 — ≈ read from Fig. 2</t>
  </si>
  <si>
    <t xml:space="preserve">4000-bit packet</t>
  </si>
  <si>
    <t xml:space="preserve">Kaur, Kour &amp; Singh, 2025 — Table 7</t>
  </si>
  <si>
    <t xml:space="preserve">H-LEACH published LND is read from the paper's Fig. 2 (≈4312). The unified environment differs in field size, BS position, radio model, packet size and initial energy, so the Unified column is the only fair basis for comparing protocols with each other.</t>
  </si>
  <si>
    <t xml:space="preserve">Proposed protocol — version-by-version evolution</t>
  </si>
  <si>
    <t xml:space="preserve">Each version changes one mechanism. Δ columns are formulas: vs. the previous row and vs. v1.</t>
  </si>
  <si>
    <t xml:space="preserve">Version</t>
  </si>
  <si>
    <t xml:space="preserve">BS</t>
  </si>
  <si>
    <t xml:space="preserve">Setup interval</t>
  </si>
  <si>
    <t xml:space="preserve">Change introduced</t>
  </si>
  <si>
    <t xml:space="preserve">Δ FND vs prev</t>
  </si>
  <si>
    <t xml:space="preserve">Δ LND vs prev</t>
  </si>
  <si>
    <t xml:space="preserve">Δ PDR vs prev</t>
  </si>
  <si>
    <t xml:space="preserve">Δ LND vs v1</t>
  </si>
  <si>
    <t xml:space="preserve">Center</t>
  </si>
  <si>
    <t xml:space="preserve">—</t>
  </si>
  <si>
    <t xml:space="preserve">v6 (Far BS)</t>
  </si>
  <si>
    <t xml:space="preserve">Far</t>
  </si>
  <si>
    <t xml:space="preserve">v7 (Far BS)</t>
  </si>
  <si>
    <t xml:space="preserve">v8 (Far BS)</t>
  </si>
  <si>
    <t xml:space="preserve">Same v8 code, BS (50, −100)</t>
  </si>
  <si>
    <t xml:space="preserve">v8-Chain (Far BS)</t>
  </si>
  <si>
    <t xml:space="preserve">v8 + energy-aware CH relay (4,710 relays)</t>
  </si>
  <si>
    <t xml:space="preserve">Rows are in the order they were developed. Center and Far-BS variants of v6/v7/v8 are controlled pairs (only the BS position differs): compare them on the "Center vs Far BS" sheet, not row-to-row here.</t>
  </si>
  <si>
    <t xml:space="preserve">Chart data (center-BS versions, formulas)</t>
  </si>
  <si>
    <t xml:space="preserve">Controlled BS-placement pairs</t>
  </si>
  <si>
    <t xml:space="preserve">Same code and seed; only the BS position changes: center (50,50) vs far (50,−100). Δ = Far vs Center (formulas).</t>
  </si>
  <si>
    <t xml:space="preserve">FND Center</t>
  </si>
  <si>
    <t xml:space="preserve">HND Center</t>
  </si>
  <si>
    <t xml:space="preserve">LND Center</t>
  </si>
  <si>
    <t xml:space="preserve">PDR Center</t>
  </si>
  <si>
    <t xml:space="preserve">FND Far</t>
  </si>
  <si>
    <t xml:space="preserve">HND Far</t>
  </si>
  <si>
    <t xml:space="preserve">LND Far</t>
  </si>
  <si>
    <t xml:space="preserve">PDR Far</t>
  </si>
  <si>
    <t xml:space="preserve">Δ FND</t>
  </si>
  <si>
    <t xml:space="preserve">Δ LND</t>
  </si>
  <si>
    <t xml:space="preserve">Δ PDR</t>
  </si>
  <si>
    <t xml:space="preserve">v6 (ordered chain)</t>
  </si>
  <si>
    <t xml:space="preserve">v7 (chain + backup + repair)</t>
  </si>
  <si>
    <t xml:space="preserve">v8</t>
  </si>
  <si>
    <t xml:space="preserve">v8-Chain (energy-aware relay)</t>
  </si>
  <si>
    <t xml:space="preserve">v8 / v8-Chain — ablation, routing and robustness</t>
  </si>
  <si>
    <t xml:space="preserve">A. Each ablation row disables ONE mechanism. B. CH routing mode. C. Mean of 8 random topologies.</t>
  </si>
  <si>
    <t xml:space="preserve">A. Leave-one-out ablation (BS center, seed 12345)</t>
  </si>
  <si>
    <t xml:space="preserve">Variant</t>
  </si>
  <si>
    <t xml:space="preserve">Mechanism removed</t>
  </si>
  <si>
    <t xml:space="preserve">Delivered packets</t>
  </si>
  <si>
    <t xml:space="preserve">Δ FND vs full</t>
  </si>
  <si>
    <t xml:space="preserve">Δ Delivered vs full</t>
  </si>
  <si>
    <t xml:space="preserve">v8 (full)</t>
  </si>
  <si>
    <t xml:space="preserve">v8 − I1</t>
  </si>
  <si>
    <t xml:space="preserve">Epoch-exhaustion fix</t>
  </si>
  <si>
    <t xml:space="preserve">v8 − I2</t>
  </si>
  <si>
    <t xml:space="preserve">Proactive CH handover</t>
  </si>
  <si>
    <t xml:space="preserve">v8 − I3</t>
  </si>
  <si>
    <t xml:space="preserve">Orphan re-join</t>
  </si>
  <si>
    <t xml:space="preserve">v8 − I4</t>
  </si>
  <si>
    <t xml:space="preserve">Direct-to-BS</t>
  </si>
  <si>
    <t xml:space="preserve">v8 − I5</t>
  </si>
  <si>
    <t xml:space="preserve">Energy-gated CH election</t>
  </si>
  <si>
    <t xml:space="preserve">Threshold fix only</t>
  </si>
  <si>
    <t xml:space="preserve">All of I1–I5</t>
  </si>
  <si>
    <t xml:space="preserve">B. CH routing mode (seed 12345 and 8-seed mean)</t>
  </si>
  <si>
    <t xml:space="preserve">Routing mode</t>
  </si>
  <si>
    <t xml:space="preserve">Mean FND</t>
  </si>
  <si>
    <t xml:space="preserve">Mean HND</t>
  </si>
  <si>
    <t xml:space="preserve">Mean LND</t>
  </si>
  <si>
    <t xml:space="preserve">Mean PDR</t>
  </si>
  <si>
    <t xml:space="preserve">Direct CH→BS (v8)</t>
  </si>
  <si>
    <t xml:space="preserve">Ordered chain</t>
  </si>
  <si>
    <t xml:space="preserve">Energy-aware relay (v8-Chain)</t>
  </si>
  <si>
    <t xml:space="preserve">C. Robustness — mean of 8 topologies (seeds 12345, 1, 7, 42, 99, 2024, 31337, 555)</t>
  </si>
  <si>
    <t xml:space="preserve">v5b</t>
  </si>
  <si>
    <t xml:space="preserve">Reading: direct-to-BS (I4) and the energy gate (I5) carry most of the v8 lifetime gain; I1 and I3 are safety nets with no effect in the full combination for this seed. The energy-aware relay never fires at the center BS and forms a chain on its own at the far BS.</t>
  </si>
</sst>
</file>

<file path=xl/styles.xml><?xml version="1.0" encoding="utf-8"?>
<styleSheet xmlns="http://schemas.openxmlformats.org/spreadsheetml/2006/main">
  <numFmts count="7">
    <numFmt numFmtId="164" formatCode="General"/>
    <numFmt numFmtId="165" formatCode="#,##0"/>
    <numFmt numFmtId="166" formatCode="0.00%"/>
    <numFmt numFmtId="167" formatCode="\+0.0%;\-0.0%;0.0%"/>
    <numFmt numFmtId="168" formatCode="\+0.00&quot; pp&quot;;\-0.00&quot; pp&quot;;0.00&quot; pp&quot;"/>
    <numFmt numFmtId="169" formatCode="0.0%"/>
    <numFmt numFmtId="170" formatCode="0.00"/>
  </numFmts>
  <fonts count="19">
    <font>
      <sz val="11"/>
      <color theme="1"/>
      <name val="Calibri"/>
      <family val="2"/>
      <charset val="1"/>
    </font>
    <font>
      <sz val="10"/>
      <name val="Arial"/>
      <family val="0"/>
    </font>
    <font>
      <sz val="10"/>
      <name val="Arial"/>
      <family val="0"/>
    </font>
    <font>
      <sz val="10"/>
      <name val="Arial"/>
      <family val="0"/>
    </font>
    <font>
      <b val="true"/>
      <sz val="16"/>
      <color rgb="FF8A2522"/>
      <name val="Arial"/>
      <family val="0"/>
      <charset val="1"/>
    </font>
    <font>
      <i val="true"/>
      <sz val="10"/>
      <color rgb="FF666666"/>
      <name val="Arial"/>
      <family val="0"/>
      <charset val="1"/>
    </font>
    <font>
      <b val="true"/>
      <sz val="11"/>
      <color rgb="FF8A2522"/>
      <name val="Arial"/>
      <family val="0"/>
      <charset val="1"/>
    </font>
    <font>
      <b val="true"/>
      <sz val="10"/>
      <color rgb="FF323232"/>
      <name val="Arial"/>
      <family val="0"/>
      <charset val="1"/>
    </font>
    <font>
      <sz val="10"/>
      <name val="Arial"/>
      <family val="0"/>
      <charset val="1"/>
    </font>
    <font>
      <b val="true"/>
      <sz val="10"/>
      <color rgb="FFFFFFFF"/>
      <name val="Arial"/>
      <family val="0"/>
      <charset val="1"/>
    </font>
    <font>
      <b val="true"/>
      <sz val="10"/>
      <name val="Arial"/>
      <family val="0"/>
      <charset val="1"/>
    </font>
    <font>
      <b val="true"/>
      <sz val="12"/>
      <color rgb="FF8A2522"/>
      <name val="Arial"/>
      <family val="0"/>
      <charset val="1"/>
    </font>
    <font>
      <b val="true"/>
      <sz val="18"/>
      <color rgb="FF000000"/>
      <name val="Calibri"/>
      <family val="2"/>
    </font>
    <font>
      <sz val="10"/>
      <color rgb="FF000000"/>
      <name val="Calibri"/>
      <family val="2"/>
    </font>
    <font>
      <i val="true"/>
      <sz val="9"/>
      <color rgb="FF666666"/>
      <name val="Arial"/>
      <family val="0"/>
      <charset val="1"/>
    </font>
    <font>
      <b val="true"/>
      <sz val="10"/>
      <color rgb="FF8A2522"/>
      <name val="Arial"/>
      <family val="0"/>
      <charset val="1"/>
    </font>
    <font>
      <b val="true"/>
      <sz val="9"/>
      <name val="Arial"/>
      <family val="0"/>
      <charset val="1"/>
    </font>
    <font>
      <sz val="9"/>
      <name val="Arial"/>
      <family val="0"/>
      <charset val="1"/>
    </font>
    <font>
      <b val="true"/>
      <sz val="10"/>
      <color rgb="FF000000"/>
      <name val="Calibri"/>
      <family val="2"/>
    </font>
  </fonts>
  <fills count="6">
    <fill>
      <patternFill patternType="none"/>
    </fill>
    <fill>
      <patternFill patternType="gray125"/>
    </fill>
    <fill>
      <patternFill patternType="solid">
        <fgColor rgb="FF8A2522"/>
        <bgColor rgb="FF993366"/>
      </patternFill>
    </fill>
    <fill>
      <patternFill patternType="solid">
        <fgColor rgb="FF323232"/>
        <bgColor rgb="FF333300"/>
      </patternFill>
    </fill>
    <fill>
      <patternFill patternType="solid">
        <fgColor rgb="FFEDEDE5"/>
        <bgColor rgb="FFF6E3E1"/>
      </patternFill>
    </fill>
    <fill>
      <patternFill patternType="solid">
        <fgColor rgb="FFF6E3E1"/>
        <bgColor rgb="FFEDEDE5"/>
      </patternFill>
    </fill>
  </fills>
  <borders count="2">
    <border diagonalUp="false" diagonalDown="false">
      <left/>
      <right/>
      <top/>
      <bottom/>
      <diagonal/>
    </border>
    <border diagonalUp="false" diagonalDown="false">
      <left/>
      <right/>
      <top/>
      <bottom style="thin">
        <color rgb="FFD0CFC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9" fillId="3" borderId="0" xfId="0" applyFont="true" applyBorder="false" applyAlignment="true" applyProtection="false">
      <alignment horizontal="center" vertical="center" textRotation="0" wrapText="tru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5" fontId="10" fillId="5" borderId="1" xfId="0" applyFont="true" applyBorder="true" applyAlignment="false" applyProtection="false">
      <alignment horizontal="general" vertical="bottom" textRotation="0" wrapText="false" indent="0" shrinkToFit="false"/>
      <protection locked="true" hidden="false"/>
    </xf>
    <xf numFmtId="166" fontId="10" fillId="5"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center" textRotation="0" wrapText="false" indent="0" shrinkToFit="false"/>
      <protection locked="true" hidden="false"/>
    </xf>
    <xf numFmtId="165" fontId="8" fillId="4" borderId="1" xfId="0" applyFont="true" applyBorder="true" applyAlignment="true" applyProtection="false">
      <alignment horizontal="general" vertical="center" textRotation="0" wrapText="false" indent="0" shrinkToFit="false"/>
      <protection locked="true" hidden="false"/>
    </xf>
    <xf numFmtId="166" fontId="8" fillId="4" borderId="1" xfId="0" applyFont="true" applyBorder="true" applyAlignment="true" applyProtection="false">
      <alignment horizontal="general" vertical="center" textRotation="0" wrapText="false" indent="0" shrinkToFit="false"/>
      <protection locked="true" hidden="false"/>
    </xf>
    <xf numFmtId="167" fontId="8" fillId="4" borderId="1" xfId="0" applyFont="true" applyBorder="true" applyAlignment="true" applyProtection="false">
      <alignment horizontal="general" vertical="center" textRotation="0" wrapText="false" indent="0" shrinkToFit="false"/>
      <protection locked="true" hidden="false"/>
    </xf>
    <xf numFmtId="170" fontId="8" fillId="4"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5" fontId="8" fillId="0" borderId="1" xfId="0" applyFont="true" applyBorder="true" applyAlignment="true" applyProtection="false">
      <alignment horizontal="general" vertical="center" textRotation="0" wrapText="false" indent="0" shrinkToFit="false"/>
      <protection locked="true" hidden="false"/>
    </xf>
    <xf numFmtId="166" fontId="8" fillId="0" borderId="1" xfId="0" applyFont="true" applyBorder="true" applyAlignment="true" applyProtection="false">
      <alignment horizontal="general" vertical="center" textRotation="0" wrapText="false" indent="0" shrinkToFit="false"/>
      <protection locked="true" hidden="false"/>
    </xf>
    <xf numFmtId="167" fontId="8" fillId="0" borderId="1" xfId="0" applyFont="true" applyBorder="true" applyAlignment="true" applyProtection="false">
      <alignment horizontal="general" vertical="center" textRotation="0" wrapText="false" indent="0" shrinkToFit="false"/>
      <protection locked="true" hidden="false"/>
    </xf>
    <xf numFmtId="170" fontId="8" fillId="0" borderId="1" xfId="0" applyFont="true" applyBorder="tru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10" fillId="5" borderId="1" xfId="0" applyFont="true" applyBorder="true" applyAlignment="true" applyProtection="false">
      <alignment horizontal="general" vertical="center" textRotation="0" wrapText="false" indent="0" shrinkToFit="false"/>
      <protection locked="true" hidden="false"/>
    </xf>
    <xf numFmtId="164" fontId="10" fillId="5" borderId="1" xfId="0" applyFont="true" applyBorder="true" applyAlignment="true" applyProtection="false">
      <alignment horizontal="general" vertical="center" textRotation="0" wrapText="true" indent="0" shrinkToFit="false"/>
      <protection locked="true" hidden="false"/>
    </xf>
    <xf numFmtId="165" fontId="10" fillId="5" borderId="1" xfId="0" applyFont="true" applyBorder="true" applyAlignment="true" applyProtection="false">
      <alignment horizontal="general" vertical="center" textRotation="0" wrapText="false" indent="0" shrinkToFit="false"/>
      <protection locked="true" hidden="false"/>
    </xf>
    <xf numFmtId="166" fontId="10" fillId="5" borderId="1" xfId="0" applyFont="true" applyBorder="true" applyAlignment="true" applyProtection="false">
      <alignment horizontal="general" vertical="center" textRotation="0" wrapText="false" indent="0" shrinkToFit="false"/>
      <protection locked="true" hidden="false"/>
    </xf>
    <xf numFmtId="167" fontId="10" fillId="5" borderId="1" xfId="0" applyFont="true" applyBorder="true" applyAlignment="true" applyProtection="false">
      <alignment horizontal="general" vertical="center" textRotation="0" wrapText="false" indent="0" shrinkToFit="false"/>
      <protection locked="true" hidden="false"/>
    </xf>
    <xf numFmtId="170" fontId="10" fillId="5" borderId="1" xfId="0" applyFont="tru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8" fillId="4" borderId="1" xfId="0" applyFont="true" applyBorder="true" applyAlignment="true" applyProtection="false">
      <alignment horizontal="general" vertical="center" textRotation="0" wrapText="true" indent="0" shrinkToFit="false"/>
      <protection locked="true" hidden="false"/>
    </xf>
    <xf numFmtId="167" fontId="8" fillId="0" borderId="1" xfId="0" applyFont="true" applyBorder="true" applyAlignment="true" applyProtection="false">
      <alignment horizontal="general" vertical="center" textRotation="0" wrapText="true" indent="0" shrinkToFit="false"/>
      <protection locked="true" hidden="false"/>
    </xf>
    <xf numFmtId="168" fontId="8" fillId="4" borderId="1" xfId="0" applyFont="true" applyBorder="true" applyAlignment="true" applyProtection="false">
      <alignment horizontal="general" vertical="center" textRotation="0" wrapText="false" indent="0" shrinkToFit="false"/>
      <protection locked="true" hidden="false"/>
    </xf>
    <xf numFmtId="168" fontId="8" fillId="0" borderId="1" xfId="0" applyFont="true" applyBorder="true" applyAlignment="true" applyProtection="false">
      <alignment horizontal="general" vertical="center" textRotation="0" wrapText="false" indent="0" shrinkToFit="false"/>
      <protection locked="true" hidden="false"/>
    </xf>
    <xf numFmtId="168" fontId="10" fillId="5" borderId="1"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FC6"/>
      <rgbColor rgb="FF878787"/>
      <rgbColor rgb="FF9999FF"/>
      <rgbColor rgb="FF993366"/>
      <rgbColor rgb="FFEDED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6E3E1"/>
      <rgbColor rgb="FF3366FF"/>
      <rgbColor rgb="FF33CCCC"/>
      <rgbColor rgb="FF99CC00"/>
      <rgbColor rgb="FFFFCC00"/>
      <rgbColor rgb="FFFF9900"/>
      <rgbColor rgb="FFFF6600"/>
      <rgbColor rgb="FF666666"/>
      <rgbColor rgb="FFC9A09E"/>
      <rgbColor rgb="FF003366"/>
      <rgbColor rgb="FF339966"/>
      <rgbColor rgb="FF003300"/>
      <rgbColor rgb="FF333300"/>
      <rgbColor rgb="FF8A2522"/>
      <rgbColor rgb="FF993366"/>
      <rgbColor rgb="FF333399"/>
      <rgbColor rgb="FF3232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Network lifetime (rounds)</a:t>
            </a:r>
          </a:p>
        </c:rich>
      </c:tx>
      <c:overlay val="0"/>
      <c:spPr>
        <a:noFill/>
        <a:ln w="0">
          <a:noFill/>
        </a:ln>
      </c:spPr>
    </c:title>
    <c:autoTitleDeleted val="0"/>
    <c:plotArea>
      <c:barChart>
        <c:barDir val="col"/>
        <c:grouping val="clustered"/>
        <c:varyColors val="0"/>
        <c:ser>
          <c:idx val="0"/>
          <c:order val="0"/>
          <c:tx>
            <c:strRef>
              <c:f>Dashboard!C4</c:f>
              <c:strCache>
                <c:ptCount val="1"/>
                <c:pt idx="0">
                  <c:v>FND</c:v>
                </c:pt>
              </c:strCache>
            </c:strRef>
          </c:tx>
          <c:spPr>
            <a:solidFill>
              <a:srgbClr val="c9a09e"/>
            </a:solidFill>
            <a:ln w="0">
              <a:solidFill>
                <a:srgbClr val="c9a09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Dashboard!$A$5:$A$13</c:f>
              <c:strCache>
                <c:ptCount val="9"/>
                <c:pt idx="0">
                  <c:v>LEACH</c:v>
                </c:pt>
                <c:pt idx="1">
                  <c:v>HEED</c:v>
                </c:pt>
                <c:pt idx="2">
                  <c:v>PEGASIS</c:v>
                </c:pt>
                <c:pt idx="3">
                  <c:v>SH-LEACH</c:v>
                </c:pt>
                <c:pt idx="4">
                  <c:v>H-LEACH</c:v>
                </c:pt>
                <c:pt idx="5">
                  <c:v>v3</c:v>
                </c:pt>
                <c:pt idx="6">
                  <c:v>v7 (Center)</c:v>
                </c:pt>
                <c:pt idx="7">
                  <c:v>v7.1 Multihop (Int 5)</c:v>
                </c:pt>
                <c:pt idx="8">
                  <c:v>v8-Chain (Center)</c:v>
                </c:pt>
              </c:strCache>
            </c:strRef>
          </c:cat>
          <c:val>
            <c:numRef>
              <c:f>Dashboard!$C$5:$C$13</c:f>
              <c:numCache>
                <c:formatCode>#,##0</c:formatCode>
                <c:ptCount val="9"/>
                <c:pt idx="0">
                  <c:v>1383</c:v>
                </c:pt>
                <c:pt idx="1">
                  <c:v>634</c:v>
                </c:pt>
                <c:pt idx="2">
                  <c:v>1324</c:v>
                </c:pt>
                <c:pt idx="3">
                  <c:v>1247</c:v>
                </c:pt>
                <c:pt idx="4">
                  <c:v>2347</c:v>
                </c:pt>
                <c:pt idx="5">
                  <c:v>1730</c:v>
                </c:pt>
                <c:pt idx="6">
                  <c:v>1551</c:v>
                </c:pt>
                <c:pt idx="7">
                  <c:v>1491</c:v>
                </c:pt>
                <c:pt idx="8">
                  <c:v>2621</c:v>
                </c:pt>
              </c:numCache>
            </c:numRef>
          </c:val>
        </c:ser>
        <c:ser>
          <c:idx val="1"/>
          <c:order val="1"/>
          <c:tx>
            <c:strRef>
              <c:f>Dashboard!D4</c:f>
              <c:strCache>
                <c:ptCount val="1"/>
                <c:pt idx="0">
                  <c:v>HND</c:v>
                </c:pt>
              </c:strCache>
            </c:strRef>
          </c:tx>
          <c:spPr>
            <a:solidFill>
              <a:srgbClr val="8a2522"/>
            </a:solidFill>
            <a:ln w="0">
              <a:solidFill>
                <a:srgbClr val="8a2522"/>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Dashboard!$A$5:$A$13</c:f>
              <c:strCache>
                <c:ptCount val="9"/>
                <c:pt idx="0">
                  <c:v>LEACH</c:v>
                </c:pt>
                <c:pt idx="1">
                  <c:v>HEED</c:v>
                </c:pt>
                <c:pt idx="2">
                  <c:v>PEGASIS</c:v>
                </c:pt>
                <c:pt idx="3">
                  <c:v>SH-LEACH</c:v>
                </c:pt>
                <c:pt idx="4">
                  <c:v>H-LEACH</c:v>
                </c:pt>
                <c:pt idx="5">
                  <c:v>v3</c:v>
                </c:pt>
                <c:pt idx="6">
                  <c:v>v7 (Center)</c:v>
                </c:pt>
                <c:pt idx="7">
                  <c:v>v7.1 Multihop (Int 5)</c:v>
                </c:pt>
                <c:pt idx="8">
                  <c:v>v8-Chain (Center)</c:v>
                </c:pt>
              </c:strCache>
            </c:strRef>
          </c:cat>
          <c:val>
            <c:numRef>
              <c:f>Dashboard!$D$5:$D$13</c:f>
              <c:numCache>
                <c:formatCode>#,##0</c:formatCode>
                <c:ptCount val="9"/>
                <c:pt idx="0">
                  <c:v>1586</c:v>
                </c:pt>
                <c:pt idx="1">
                  <c:v>1216</c:v>
                </c:pt>
                <c:pt idx="2">
                  <c:v>2352</c:v>
                </c:pt>
                <c:pt idx="3">
                  <c:v>1600</c:v>
                </c:pt>
                <c:pt idx="4">
                  <c:v>2449</c:v>
                </c:pt>
                <c:pt idx="5">
                  <c:v>2081</c:v>
                </c:pt>
                <c:pt idx="6">
                  <c:v>1976</c:v>
                </c:pt>
                <c:pt idx="7">
                  <c:v>1991</c:v>
                </c:pt>
                <c:pt idx="8">
                  <c:v>2711</c:v>
                </c:pt>
              </c:numCache>
            </c:numRef>
          </c:val>
        </c:ser>
        <c:ser>
          <c:idx val="2"/>
          <c:order val="2"/>
          <c:tx>
            <c:strRef>
              <c:f>Dashboard!E4</c:f>
              <c:strCache>
                <c:ptCount val="1"/>
                <c:pt idx="0">
                  <c:v>LND</c:v>
                </c:pt>
              </c:strCache>
            </c:strRef>
          </c:tx>
          <c:spPr>
            <a:solidFill>
              <a:srgbClr val="323232"/>
            </a:solidFill>
            <a:ln w="0">
              <a:solidFill>
                <a:srgbClr val="323232"/>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Dashboard!$A$5:$A$13</c:f>
              <c:strCache>
                <c:ptCount val="9"/>
                <c:pt idx="0">
                  <c:v>LEACH</c:v>
                </c:pt>
                <c:pt idx="1">
                  <c:v>HEED</c:v>
                </c:pt>
                <c:pt idx="2">
                  <c:v>PEGASIS</c:v>
                </c:pt>
                <c:pt idx="3">
                  <c:v>SH-LEACH</c:v>
                </c:pt>
                <c:pt idx="4">
                  <c:v>H-LEACH</c:v>
                </c:pt>
                <c:pt idx="5">
                  <c:v>v3</c:v>
                </c:pt>
                <c:pt idx="6">
                  <c:v>v7 (Center)</c:v>
                </c:pt>
                <c:pt idx="7">
                  <c:v>v7.1 Multihop (Int 5)</c:v>
                </c:pt>
                <c:pt idx="8">
                  <c:v>v8-Chain (Center)</c:v>
                </c:pt>
              </c:strCache>
            </c:strRef>
          </c:cat>
          <c:val>
            <c:numRef>
              <c:f>Dashboard!$E$5:$E$13</c:f>
              <c:numCache>
                <c:formatCode>#,##0</c:formatCode>
                <c:ptCount val="9"/>
                <c:pt idx="0">
                  <c:v>1842</c:v>
                </c:pt>
                <c:pt idx="1">
                  <c:v>1883</c:v>
                </c:pt>
                <c:pt idx="2">
                  <c:v>3504</c:v>
                </c:pt>
                <c:pt idx="3">
                  <c:v>1649</c:v>
                </c:pt>
                <c:pt idx="4">
                  <c:v>2499</c:v>
                </c:pt>
                <c:pt idx="5">
                  <c:v>2703</c:v>
                </c:pt>
                <c:pt idx="6">
                  <c:v>2066</c:v>
                </c:pt>
                <c:pt idx="7">
                  <c:v>2086</c:v>
                </c:pt>
                <c:pt idx="8">
                  <c:v>2756</c:v>
                </c:pt>
              </c:numCache>
            </c:numRef>
          </c:val>
        </c:ser>
        <c:gapWidth val="150"/>
        <c:overlap val="0"/>
        <c:axId val="46280220"/>
        <c:axId val="52162433"/>
      </c:barChart>
      <c:catAx>
        <c:axId val="4628022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162433"/>
        <c:crosses val="autoZero"/>
        <c:auto val="1"/>
        <c:lblAlgn val="ctr"/>
        <c:lblOffset val="100"/>
        <c:noMultiLvlLbl val="0"/>
      </c:catAx>
      <c:valAx>
        <c:axId val="52162433"/>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28022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Packet Delivery Ratio</a:t>
            </a:r>
          </a:p>
        </c:rich>
      </c:tx>
      <c:overlay val="0"/>
      <c:spPr>
        <a:noFill/>
        <a:ln w="0">
          <a:noFill/>
        </a:ln>
      </c:spPr>
    </c:title>
    <c:autoTitleDeleted val="0"/>
    <c:plotArea>
      <c:barChart>
        <c:barDir val="col"/>
        <c:grouping val="clustered"/>
        <c:varyColors val="0"/>
        <c:ser>
          <c:idx val="0"/>
          <c:order val="0"/>
          <c:tx>
            <c:strRef>
              <c:f>Dashboard!F4</c:f>
              <c:strCache>
                <c:ptCount val="1"/>
                <c:pt idx="0">
                  <c:v>PDR</c:v>
                </c:pt>
              </c:strCache>
            </c:strRef>
          </c:tx>
          <c:spPr>
            <a:solidFill>
              <a:srgbClr val="8a2522"/>
            </a:solidFill>
            <a:ln w="0">
              <a:noFill/>
            </a:ln>
          </c:spPr>
          <c:invertIfNegative val="0"/>
          <c:dLbls>
            <c:numFmt formatCode="0.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Dashboard!$A$5:$A$13</c:f>
              <c:strCache>
                <c:ptCount val="9"/>
                <c:pt idx="0">
                  <c:v>LEACH</c:v>
                </c:pt>
                <c:pt idx="1">
                  <c:v>HEED</c:v>
                </c:pt>
                <c:pt idx="2">
                  <c:v>PEGASIS</c:v>
                </c:pt>
                <c:pt idx="3">
                  <c:v>SH-LEACH</c:v>
                </c:pt>
                <c:pt idx="4">
                  <c:v>H-LEACH</c:v>
                </c:pt>
                <c:pt idx="5">
                  <c:v>v3</c:v>
                </c:pt>
                <c:pt idx="6">
                  <c:v>v7 (Center)</c:v>
                </c:pt>
                <c:pt idx="7">
                  <c:v>v7.1 Multihop (Int 5)</c:v>
                </c:pt>
                <c:pt idx="8">
                  <c:v>v8-Chain (Center)</c:v>
                </c:pt>
              </c:strCache>
            </c:strRef>
          </c:cat>
          <c:val>
            <c:numRef>
              <c:f>Dashboard!$F$5:$F$13</c:f>
              <c:numCache>
                <c:formatCode>0.00%</c:formatCode>
                <c:ptCount val="9"/>
                <c:pt idx="0">
                  <c:v>0.994</c:v>
                </c:pt>
                <c:pt idx="1">
                  <c:v>0.9968</c:v>
                </c:pt>
                <c:pt idx="2">
                  <c:v>0.9942</c:v>
                </c:pt>
                <c:pt idx="3">
                  <c:v>0.9979</c:v>
                </c:pt>
                <c:pt idx="4">
                  <c:v>0.9733</c:v>
                </c:pt>
                <c:pt idx="5">
                  <c:v>0.9772</c:v>
                </c:pt>
                <c:pt idx="6">
                  <c:v>0.98432</c:v>
                </c:pt>
                <c:pt idx="7">
                  <c:v>0.9849</c:v>
                </c:pt>
                <c:pt idx="8">
                  <c:v>0.992668</c:v>
                </c:pt>
              </c:numCache>
            </c:numRef>
          </c:val>
        </c:ser>
        <c:gapWidth val="150"/>
        <c:overlap val="0"/>
        <c:axId val="39719945"/>
        <c:axId val="25492708"/>
      </c:barChart>
      <c:catAx>
        <c:axId val="3971994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492708"/>
        <c:crosses val="autoZero"/>
        <c:auto val="1"/>
        <c:lblAlgn val="ctr"/>
        <c:lblOffset val="100"/>
        <c:noMultiLvlLbl val="0"/>
      </c:catAx>
      <c:valAx>
        <c:axId val="25492708"/>
        <c:scaling>
          <c:orientation val="minMax"/>
          <c:max val="1"/>
          <c:min val="0.96"/>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71994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Lifetime across the proposed versions (BS center)</a:t>
            </a:r>
          </a:p>
        </c:rich>
      </c:tx>
      <c:overlay val="0"/>
      <c:spPr>
        <a:noFill/>
        <a:ln w="0">
          <a:noFill/>
        </a:ln>
      </c:spPr>
    </c:title>
    <c:autoTitleDeleted val="0"/>
    <c:plotArea>
      <c:lineChart>
        <c:grouping val="standard"/>
        <c:varyColors val="0"/>
        <c:ser>
          <c:idx val="0"/>
          <c:order val="0"/>
          <c:tx>
            <c:strRef>
              <c:f>'Proposed Evolution'!B27</c:f>
              <c:strCache>
                <c:ptCount val="1"/>
                <c:pt idx="0">
                  <c:v>FND</c:v>
                </c:pt>
              </c:strCache>
            </c:strRef>
          </c:tx>
          <c:spPr>
            <a:solidFill>
              <a:srgbClr val="c9a09e"/>
            </a:solidFill>
            <a:ln w="28080">
              <a:solidFill>
                <a:srgbClr val="c9a09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'Proposed Evolution'!$A$28:$A$41</c:f>
              <c:strCache>
                <c:ptCount val="14"/>
                <c:pt idx="0">
                  <c:v>v1</c:v>
                </c:pt>
                <c:pt idx="1">
                  <c:v>v2</c:v>
                </c:pt>
                <c:pt idx="2">
                  <c:v>v3</c:v>
                </c:pt>
                <c:pt idx="3">
                  <c:v>v4</c:v>
                </c:pt>
                <c:pt idx="4">
                  <c:v>v5</c:v>
                </c:pt>
                <c:pt idx="5">
                  <c:v>v5-exp (Int 5)</c:v>
                </c:pt>
                <c:pt idx="6">
                  <c:v>v5-exp (Int 10)</c:v>
                </c:pt>
                <c:pt idx="7">
                  <c:v>v6 (Center)</c:v>
                </c:pt>
                <c:pt idx="8">
                  <c:v>v7 (Center)</c:v>
                </c:pt>
                <c:pt idx="9">
                  <c:v>v7.1 Multihop (Int 5)</c:v>
                </c:pt>
                <c:pt idx="10">
                  <c:v>v7.2 Multihop (Int 10)</c:v>
                </c:pt>
                <c:pt idx="11">
                  <c:v>v5b (Energy-Aware)</c:v>
                </c:pt>
                <c:pt idx="12">
                  <c:v>v8 (Center)</c:v>
                </c:pt>
                <c:pt idx="13">
                  <c:v>v8-Chain (Center)</c:v>
                </c:pt>
              </c:strCache>
            </c:strRef>
          </c:cat>
          <c:val>
            <c:numRef>
              <c:f>'Proposed Evolution'!$B$28:$B$41</c:f>
              <c:numCache>
                <c:formatCode>#,##0</c:formatCode>
                <c:ptCount val="14"/>
                <c:pt idx="0">
                  <c:v>330</c:v>
                </c:pt>
                <c:pt idx="1">
                  <c:v>345</c:v>
                </c:pt>
                <c:pt idx="2">
                  <c:v>1730</c:v>
                </c:pt>
                <c:pt idx="3">
                  <c:v>1513</c:v>
                </c:pt>
                <c:pt idx="4">
                  <c:v>1513</c:v>
                </c:pt>
                <c:pt idx="5">
                  <c:v>1730</c:v>
                </c:pt>
                <c:pt idx="6">
                  <c:v>1621</c:v>
                </c:pt>
                <c:pt idx="7">
                  <c:v>1551</c:v>
                </c:pt>
                <c:pt idx="8">
                  <c:v>1551</c:v>
                </c:pt>
                <c:pt idx="9">
                  <c:v>1491</c:v>
                </c:pt>
                <c:pt idx="10">
                  <c:v>1381</c:v>
                </c:pt>
                <c:pt idx="11">
                  <c:v>1730</c:v>
                </c:pt>
                <c:pt idx="12">
                  <c:v>2621</c:v>
                </c:pt>
                <c:pt idx="13">
                  <c:v>2621</c:v>
                </c:pt>
              </c:numCache>
            </c:numRef>
          </c:val>
          <c:smooth val="0"/>
        </c:ser>
        <c:ser>
          <c:idx val="1"/>
          <c:order val="1"/>
          <c:tx>
            <c:strRef>
              <c:f>'Proposed Evolution'!C27</c:f>
              <c:strCache>
                <c:ptCount val="1"/>
                <c:pt idx="0">
                  <c:v>HND</c:v>
                </c:pt>
              </c:strCache>
            </c:strRef>
          </c:tx>
          <c:spPr>
            <a:solidFill>
              <a:srgbClr val="8a2522"/>
            </a:solidFill>
            <a:ln w="28080">
              <a:solidFill>
                <a:srgbClr val="8a252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'Proposed Evolution'!$A$28:$A$41</c:f>
              <c:strCache>
                <c:ptCount val="14"/>
                <c:pt idx="0">
                  <c:v>v1</c:v>
                </c:pt>
                <c:pt idx="1">
                  <c:v>v2</c:v>
                </c:pt>
                <c:pt idx="2">
                  <c:v>v3</c:v>
                </c:pt>
                <c:pt idx="3">
                  <c:v>v4</c:v>
                </c:pt>
                <c:pt idx="4">
                  <c:v>v5</c:v>
                </c:pt>
                <c:pt idx="5">
                  <c:v>v5-exp (Int 5)</c:v>
                </c:pt>
                <c:pt idx="6">
                  <c:v>v5-exp (Int 10)</c:v>
                </c:pt>
                <c:pt idx="7">
                  <c:v>v6 (Center)</c:v>
                </c:pt>
                <c:pt idx="8">
                  <c:v>v7 (Center)</c:v>
                </c:pt>
                <c:pt idx="9">
                  <c:v>v7.1 Multihop (Int 5)</c:v>
                </c:pt>
                <c:pt idx="10">
                  <c:v>v7.2 Multihop (Int 10)</c:v>
                </c:pt>
                <c:pt idx="11">
                  <c:v>v5b (Energy-Aware)</c:v>
                </c:pt>
                <c:pt idx="12">
                  <c:v>v8 (Center)</c:v>
                </c:pt>
                <c:pt idx="13">
                  <c:v>v8-Chain (Center)</c:v>
                </c:pt>
              </c:strCache>
            </c:strRef>
          </c:cat>
          <c:val>
            <c:numRef>
              <c:f>'Proposed Evolution'!$C$28:$C$41</c:f>
              <c:numCache>
                <c:formatCode>#,##0</c:formatCode>
                <c:ptCount val="14"/>
                <c:pt idx="0">
                  <c:v>557</c:v>
                </c:pt>
                <c:pt idx="1">
                  <c:v>534</c:v>
                </c:pt>
                <c:pt idx="2">
                  <c:v>2081</c:v>
                </c:pt>
                <c:pt idx="3">
                  <c:v>2219</c:v>
                </c:pt>
                <c:pt idx="4">
                  <c:v>2127</c:v>
                </c:pt>
                <c:pt idx="5">
                  <c:v>2086</c:v>
                </c:pt>
                <c:pt idx="6">
                  <c:v>2141</c:v>
                </c:pt>
                <c:pt idx="7">
                  <c:v>1981</c:v>
                </c:pt>
                <c:pt idx="8">
                  <c:v>1976</c:v>
                </c:pt>
                <c:pt idx="9">
                  <c:v>1991</c:v>
                </c:pt>
                <c:pt idx="10">
                  <c:v>2071</c:v>
                </c:pt>
                <c:pt idx="11">
                  <c:v>2091</c:v>
                </c:pt>
                <c:pt idx="12">
                  <c:v>2711</c:v>
                </c:pt>
                <c:pt idx="13">
                  <c:v>2711</c:v>
                </c:pt>
              </c:numCache>
            </c:numRef>
          </c:val>
          <c:smooth val="0"/>
        </c:ser>
        <c:ser>
          <c:idx val="2"/>
          <c:order val="2"/>
          <c:tx>
            <c:strRef>
              <c:f>'Proposed Evolution'!D27</c:f>
              <c:strCache>
                <c:ptCount val="1"/>
                <c:pt idx="0">
                  <c:v>LND</c:v>
                </c:pt>
              </c:strCache>
            </c:strRef>
          </c:tx>
          <c:spPr>
            <a:solidFill>
              <a:srgbClr val="323232"/>
            </a:solidFill>
            <a:ln w="28080">
              <a:solidFill>
                <a:srgbClr val="32323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'Proposed Evolution'!$A$28:$A$41</c:f>
              <c:strCache>
                <c:ptCount val="14"/>
                <c:pt idx="0">
                  <c:v>v1</c:v>
                </c:pt>
                <c:pt idx="1">
                  <c:v>v2</c:v>
                </c:pt>
                <c:pt idx="2">
                  <c:v>v3</c:v>
                </c:pt>
                <c:pt idx="3">
                  <c:v>v4</c:v>
                </c:pt>
                <c:pt idx="4">
                  <c:v>v5</c:v>
                </c:pt>
                <c:pt idx="5">
                  <c:v>v5-exp (Int 5)</c:v>
                </c:pt>
                <c:pt idx="6">
                  <c:v>v5-exp (Int 10)</c:v>
                </c:pt>
                <c:pt idx="7">
                  <c:v>v6 (Center)</c:v>
                </c:pt>
                <c:pt idx="8">
                  <c:v>v7 (Center)</c:v>
                </c:pt>
                <c:pt idx="9">
                  <c:v>v7.1 Multihop (Int 5)</c:v>
                </c:pt>
                <c:pt idx="10">
                  <c:v>v7.2 Multihop (Int 10)</c:v>
                </c:pt>
                <c:pt idx="11">
                  <c:v>v5b (Energy-Aware)</c:v>
                </c:pt>
                <c:pt idx="12">
                  <c:v>v8 (Center)</c:v>
                </c:pt>
                <c:pt idx="13">
                  <c:v>v8-Chain (Center)</c:v>
                </c:pt>
              </c:strCache>
            </c:strRef>
          </c:cat>
          <c:val>
            <c:numRef>
              <c:f>'Proposed Evolution'!$D$28:$D$41</c:f>
              <c:numCache>
                <c:formatCode>#,##0</c:formatCode>
                <c:ptCount val="14"/>
                <c:pt idx="0">
                  <c:v>1318</c:v>
                </c:pt>
                <c:pt idx="1">
                  <c:v>1393</c:v>
                </c:pt>
                <c:pt idx="2">
                  <c:v>2703</c:v>
                </c:pt>
                <c:pt idx="3">
                  <c:v>2521</c:v>
                </c:pt>
                <c:pt idx="4">
                  <c:v>2416</c:v>
                </c:pt>
                <c:pt idx="5">
                  <c:v>2156</c:v>
                </c:pt>
                <c:pt idx="6">
                  <c:v>2291</c:v>
                </c:pt>
                <c:pt idx="7">
                  <c:v>2106</c:v>
                </c:pt>
                <c:pt idx="8">
                  <c:v>2066</c:v>
                </c:pt>
                <c:pt idx="9">
                  <c:v>2086</c:v>
                </c:pt>
                <c:pt idx="10">
                  <c:v>2241</c:v>
                </c:pt>
                <c:pt idx="11">
                  <c:v>3203</c:v>
                </c:pt>
                <c:pt idx="12">
                  <c:v>2761</c:v>
                </c:pt>
                <c:pt idx="13">
                  <c:v>2756</c:v>
                </c:pt>
              </c:numCache>
            </c:numRef>
          </c:val>
          <c:smooth val="0"/>
        </c:ser>
        <c:hiLowLines>
          <c:spPr>
            <a:ln w="0">
              <a:noFill/>
            </a:ln>
          </c:spPr>
        </c:hiLowLines>
        <c:marker val="0"/>
        <c:axId val="36069653"/>
        <c:axId val="94008186"/>
      </c:lineChart>
      <c:catAx>
        <c:axId val="3606965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008186"/>
        <c:crosses val="autoZero"/>
        <c:auto val="1"/>
        <c:lblAlgn val="ctr"/>
        <c:lblOffset val="100"/>
        <c:noMultiLvlLbl val="0"/>
      </c:catAx>
      <c:valAx>
        <c:axId val="9400818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Rounds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06965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Far-BS lifetime by protocol</a:t>
            </a:r>
          </a:p>
        </c:rich>
      </c:tx>
      <c:overlay val="0"/>
      <c:spPr>
        <a:noFill/>
        <a:ln w="0">
          <a:noFill/>
        </a:ln>
      </c:spPr>
    </c:title>
    <c:autoTitleDeleted val="0"/>
    <c:plotArea>
      <c:barChart>
        <c:barDir val="col"/>
        <c:grouping val="clustered"/>
        <c:varyColors val="0"/>
        <c:ser>
          <c:idx val="0"/>
          <c:order val="0"/>
          <c:tx>
            <c:strRef>
              <c:f>'Center vs Far BS'!F4</c:f>
              <c:strCache>
                <c:ptCount val="1"/>
                <c:pt idx="0">
                  <c:v>FND Far</c:v>
                </c:pt>
              </c:strCache>
            </c:strRef>
          </c:tx>
          <c:spPr>
            <a:solidFill>
              <a:srgbClr val="c9a09e"/>
            </a:solidFill>
            <a:ln w="0">
              <a:solidFill>
                <a:srgbClr val="c9a09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'Center vs Far BS'!$A$5:$A$9</c:f>
              <c:strCache>
                <c:ptCount val="5"/>
                <c:pt idx="0">
                  <c:v>v5b (Energy-Aware)</c:v>
                </c:pt>
                <c:pt idx="1">
                  <c:v>v6 (ordered chain)</c:v>
                </c:pt>
                <c:pt idx="2">
                  <c:v>v7 (chain + backup + repair)</c:v>
                </c:pt>
                <c:pt idx="3">
                  <c:v>v8</c:v>
                </c:pt>
                <c:pt idx="4">
                  <c:v>v8-Chain (energy-aware relay)</c:v>
                </c:pt>
              </c:strCache>
            </c:strRef>
          </c:cat>
          <c:val>
            <c:numRef>
              <c:f>'Center vs Far BS'!$F$5:$F$9</c:f>
              <c:numCache>
                <c:formatCode>#,##0</c:formatCode>
                <c:ptCount val="5"/>
                <c:pt idx="0">
                  <c:v>1055</c:v>
                </c:pt>
                <c:pt idx="1">
                  <c:v>1266</c:v>
                </c:pt>
                <c:pt idx="2">
                  <c:v>1266</c:v>
                </c:pt>
                <c:pt idx="3">
                  <c:v>1471</c:v>
                </c:pt>
                <c:pt idx="4">
                  <c:v>1716</c:v>
                </c:pt>
              </c:numCache>
            </c:numRef>
          </c:val>
        </c:ser>
        <c:ser>
          <c:idx val="1"/>
          <c:order val="1"/>
          <c:tx>
            <c:strRef>
              <c:f>'Center vs Far BS'!G4</c:f>
              <c:strCache>
                <c:ptCount val="1"/>
                <c:pt idx="0">
                  <c:v>HND Far</c:v>
                </c:pt>
              </c:strCache>
            </c:strRef>
          </c:tx>
          <c:spPr>
            <a:solidFill>
              <a:srgbClr val="8a2522"/>
            </a:solidFill>
            <a:ln w="0">
              <a:solidFill>
                <a:srgbClr val="8a2522"/>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'Center vs Far BS'!$A$5:$A$9</c:f>
              <c:strCache>
                <c:ptCount val="5"/>
                <c:pt idx="0">
                  <c:v>v5b (Energy-Aware)</c:v>
                </c:pt>
                <c:pt idx="1">
                  <c:v>v6 (ordered chain)</c:v>
                </c:pt>
                <c:pt idx="2">
                  <c:v>v7 (chain + backup + repair)</c:v>
                </c:pt>
                <c:pt idx="3">
                  <c:v>v8</c:v>
                </c:pt>
                <c:pt idx="4">
                  <c:v>v8-Chain (energy-aware relay)</c:v>
                </c:pt>
              </c:strCache>
            </c:strRef>
          </c:cat>
          <c:val>
            <c:numRef>
              <c:f>'Center vs Far BS'!$G$5:$G$9</c:f>
              <c:numCache>
                <c:formatCode>#,##0</c:formatCode>
                <c:ptCount val="5"/>
                <c:pt idx="0">
                  <c:v>1616</c:v>
                </c:pt>
                <c:pt idx="1">
                  <c:v>1910</c:v>
                </c:pt>
                <c:pt idx="2">
                  <c:v>1891</c:v>
                </c:pt>
                <c:pt idx="3">
                  <c:v>1646</c:v>
                </c:pt>
                <c:pt idx="4">
                  <c:v>1886</c:v>
                </c:pt>
              </c:numCache>
            </c:numRef>
          </c:val>
        </c:ser>
        <c:ser>
          <c:idx val="2"/>
          <c:order val="2"/>
          <c:tx>
            <c:strRef>
              <c:f>'Center vs Far BS'!H4</c:f>
              <c:strCache>
                <c:ptCount val="1"/>
                <c:pt idx="0">
                  <c:v>LND Far</c:v>
                </c:pt>
              </c:strCache>
            </c:strRef>
          </c:tx>
          <c:spPr>
            <a:solidFill>
              <a:srgbClr val="323232"/>
            </a:solidFill>
            <a:ln w="0">
              <a:solidFill>
                <a:srgbClr val="323232"/>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'Center vs Far BS'!$A$5:$A$9</c:f>
              <c:strCache>
                <c:ptCount val="5"/>
                <c:pt idx="0">
                  <c:v>v5b (Energy-Aware)</c:v>
                </c:pt>
                <c:pt idx="1">
                  <c:v>v6 (ordered chain)</c:v>
                </c:pt>
                <c:pt idx="2">
                  <c:v>v7 (chain + backup + repair)</c:v>
                </c:pt>
                <c:pt idx="3">
                  <c:v>v8</c:v>
                </c:pt>
                <c:pt idx="4">
                  <c:v>v8-Chain (energy-aware relay)</c:v>
                </c:pt>
              </c:strCache>
            </c:strRef>
          </c:cat>
          <c:val>
            <c:numRef>
              <c:f>'Center vs Far BS'!$H$5:$H$9</c:f>
              <c:numCache>
                <c:formatCode>#,##0</c:formatCode>
                <c:ptCount val="5"/>
                <c:pt idx="0">
                  <c:v>1861</c:v>
                </c:pt>
                <c:pt idx="1">
                  <c:v>2031</c:v>
                </c:pt>
                <c:pt idx="2">
                  <c:v>1976</c:v>
                </c:pt>
                <c:pt idx="3">
                  <c:v>1716</c:v>
                </c:pt>
                <c:pt idx="4">
                  <c:v>1956</c:v>
                </c:pt>
              </c:numCache>
            </c:numRef>
          </c:val>
        </c:ser>
        <c:gapWidth val="150"/>
        <c:overlap val="0"/>
        <c:axId val="97603401"/>
        <c:axId val="69793482"/>
      </c:barChart>
      <c:catAx>
        <c:axId val="9760340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793482"/>
        <c:crosses val="autoZero"/>
        <c:auto val="1"/>
        <c:lblAlgn val="ctr"/>
        <c:lblOffset val="100"/>
        <c:noMultiLvlLbl val="0"/>
      </c:catAx>
      <c:valAx>
        <c:axId val="6979348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Rounds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60340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131040</xdr:rowOff>
    </xdr:from>
    <xdr:to>
      <xdr:col>18</xdr:col>
      <xdr:colOff>354960</xdr:colOff>
      <xdr:row>18</xdr:row>
      <xdr:rowOff>113040</xdr:rowOff>
    </xdr:to>
    <xdr:graphicFrame>
      <xdr:nvGraphicFramePr>
        <xdr:cNvPr id="0" name="Chart 1"/>
        <xdr:cNvGraphicFramePr/>
      </xdr:nvGraphicFramePr>
      <xdr:xfrm>
        <a:off x="7168680" y="57168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21</xdr:row>
      <xdr:rowOff>131040</xdr:rowOff>
    </xdr:from>
    <xdr:to>
      <xdr:col>18</xdr:col>
      <xdr:colOff>354960</xdr:colOff>
      <xdr:row>35</xdr:row>
      <xdr:rowOff>163440</xdr:rowOff>
    </xdr:to>
    <xdr:graphicFrame>
      <xdr:nvGraphicFramePr>
        <xdr:cNvPr id="1" name="Chart 2"/>
        <xdr:cNvGraphicFramePr/>
      </xdr:nvGraphicFramePr>
      <xdr:xfrm>
        <a:off x="7168680" y="4400640"/>
        <a:ext cx="791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24</xdr:row>
      <xdr:rowOff>130680</xdr:rowOff>
    </xdr:from>
    <xdr:to>
      <xdr:col>17</xdr:col>
      <xdr:colOff>160560</xdr:colOff>
      <xdr:row>41</xdr:row>
      <xdr:rowOff>131760</xdr:rowOff>
    </xdr:to>
    <xdr:graphicFrame>
      <xdr:nvGraphicFramePr>
        <xdr:cNvPr id="2" name="Chart 1"/>
        <xdr:cNvGraphicFramePr/>
      </xdr:nvGraphicFramePr>
      <xdr:xfrm>
        <a:off x="8881200" y="4971960"/>
        <a:ext cx="86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10</xdr:row>
      <xdr:rowOff>130680</xdr:rowOff>
    </xdr:from>
    <xdr:to>
      <xdr:col>6</xdr:col>
      <xdr:colOff>798840</xdr:colOff>
      <xdr:row>26</xdr:row>
      <xdr:rowOff>142560</xdr:rowOff>
    </xdr:to>
    <xdr:graphicFrame>
      <xdr:nvGraphicFramePr>
        <xdr:cNvPr id="3" name="Chart 1"/>
        <xdr:cNvGraphicFramePr/>
      </xdr:nvGraphicFramePr>
      <xdr:xfrm>
        <a:off x="0" y="2305080"/>
        <a:ext cx="71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s">
        <v>4</v>
      </c>
    </row>
    <row r="6" customFormat="false" ht="15" hidden="false" customHeight="false" outlineLevel="0" collapsed="false">
      <c r="A6" s="4" t="s">
        <v>5</v>
      </c>
      <c r="B6" s="5" t="s">
        <v>6</v>
      </c>
    </row>
    <row r="7" customFormat="false" ht="15" hidden="false" customHeight="false" outlineLevel="0" collapsed="false">
      <c r="A7" s="4" t="s">
        <v>7</v>
      </c>
      <c r="B7" s="5" t="s">
        <v>8</v>
      </c>
    </row>
    <row r="8" customFormat="false" ht="15" hidden="false" customHeight="false" outlineLevel="0" collapsed="false">
      <c r="A8" s="4" t="s">
        <v>9</v>
      </c>
      <c r="B8" s="5" t="s">
        <v>10</v>
      </c>
    </row>
    <row r="9" customFormat="false" ht="15" hidden="false" customHeight="false" outlineLevel="0" collapsed="false">
      <c r="A9" s="4" t="s">
        <v>11</v>
      </c>
      <c r="B9" s="5" t="s">
        <v>12</v>
      </c>
    </row>
    <row r="10" customFormat="false" ht="15" hidden="false" customHeight="false" outlineLevel="0" collapsed="false">
      <c r="A10" s="4" t="s">
        <v>13</v>
      </c>
      <c r="B10" s="5" t="s">
        <v>14</v>
      </c>
    </row>
    <row r="11" customFormat="false" ht="15" hidden="false" customHeight="false" outlineLevel="0" collapsed="false">
      <c r="A11" s="3"/>
    </row>
    <row r="12" customFormat="false" ht="15" hidden="false" customHeight="false" outlineLevel="0" collapsed="false">
      <c r="A12" s="3" t="s">
        <v>15</v>
      </c>
    </row>
    <row r="13" customFormat="false" ht="15" hidden="false" customHeight="false" outlineLevel="0" collapsed="false">
      <c r="A13" s="4" t="s">
        <v>16</v>
      </c>
      <c r="B13" s="5" t="s">
        <v>17</v>
      </c>
    </row>
    <row r="14" customFormat="false" ht="15" hidden="false" customHeight="false" outlineLevel="0" collapsed="false">
      <c r="A14" s="4" t="s">
        <v>18</v>
      </c>
      <c r="B14" s="5" t="s">
        <v>19</v>
      </c>
    </row>
    <row r="15" customFormat="false" ht="15" hidden="false" customHeight="false" outlineLevel="0" collapsed="false">
      <c r="A15" s="4" t="s">
        <v>20</v>
      </c>
      <c r="B15" s="5" t="s">
        <v>21</v>
      </c>
    </row>
    <row r="16" customFormat="false" ht="15" hidden="false" customHeight="false" outlineLevel="0" collapsed="false">
      <c r="A16" s="4" t="s">
        <v>22</v>
      </c>
      <c r="B16" s="5" t="s">
        <v>23</v>
      </c>
    </row>
    <row r="17" customFormat="false" ht="15" hidden="false" customHeight="false" outlineLevel="0" collapsed="false">
      <c r="A17" s="4" t="s">
        <v>24</v>
      </c>
      <c r="B17" s="5" t="s">
        <v>25</v>
      </c>
    </row>
    <row r="18" customFormat="false" ht="15" hidden="false" customHeight="false" outlineLevel="0" collapsed="false">
      <c r="A18" s="3"/>
    </row>
    <row r="19" customFormat="false" ht="15" hidden="false" customHeight="false" outlineLevel="0" collapsed="false">
      <c r="A19" s="3" t="s">
        <v>26</v>
      </c>
    </row>
    <row r="20" customFormat="false" ht="15" hidden="false" customHeight="false" outlineLevel="0" collapsed="false">
      <c r="A20" s="4" t="s">
        <v>27</v>
      </c>
      <c r="B20" s="5" t="s">
        <v>28</v>
      </c>
    </row>
    <row r="21" customFormat="false" ht="15" hidden="false" customHeight="false" outlineLevel="0" collapsed="false">
      <c r="A21" s="4" t="s">
        <v>29</v>
      </c>
      <c r="B21" s="5" t="s">
        <v>30</v>
      </c>
    </row>
    <row r="22" customFormat="false" ht="15" hidden="false" customHeight="false" outlineLevel="0" collapsed="false">
      <c r="A22" s="4" t="s">
        <v>31</v>
      </c>
      <c r="B22" s="5" t="s">
        <v>32</v>
      </c>
    </row>
    <row r="23" customFormat="false" ht="15" hidden="false" customHeight="false" outlineLevel="0" collapsed="false">
      <c r="A23" s="4" t="s">
        <v>33</v>
      </c>
      <c r="B23" s="5" t="s">
        <v>34</v>
      </c>
    </row>
    <row r="24" customFormat="false" ht="15" hidden="false" customHeight="false" outlineLevel="0" collapsed="false">
      <c r="A24" s="4" t="s">
        <v>35</v>
      </c>
      <c r="B24" s="5" t="s">
        <v>36</v>
      </c>
    </row>
    <row r="25" customFormat="false" ht="15" hidden="false" customHeight="false" outlineLevel="0" collapsed="false">
      <c r="A25" s="4" t="s">
        <v>37</v>
      </c>
      <c r="B25" s="5" t="s">
        <v>38</v>
      </c>
    </row>
    <row r="26" customFormat="false" ht="15" hidden="false" customHeight="false" outlineLevel="0" collapsed="false">
      <c r="A26" s="4" t="s">
        <v>39</v>
      </c>
      <c r="B26" s="5" t="s">
        <v>40</v>
      </c>
    </row>
    <row r="27" customFormat="false" ht="15" hidden="false" customHeight="false" outlineLevel="0" collapsed="false">
      <c r="A27" s="4" t="s">
        <v>41</v>
      </c>
      <c r="B27" s="5" t="s">
        <v>42</v>
      </c>
    </row>
    <row r="28" customFormat="false" ht="15" hidden="false" customHeight="false" outlineLevel="0" collapsed="false">
      <c r="A28" s="4" t="s">
        <v>43</v>
      </c>
      <c r="B28" s="5" t="s">
        <v>44</v>
      </c>
    </row>
    <row r="29" customFormat="false" ht="15" hidden="false" customHeight="false" outlineLevel="0" collapsed="false">
      <c r="A29" s="4" t="s">
        <v>45</v>
      </c>
      <c r="B29" s="5" t="s">
        <v>46</v>
      </c>
    </row>
    <row r="30" customFormat="false" ht="15" hidden="false" customHeight="false" outlineLevel="0" collapsed="false">
      <c r="A30" s="4" t="s">
        <v>47</v>
      </c>
      <c r="B30" s="5" t="s">
        <v>48</v>
      </c>
    </row>
    <row r="31" customFormat="false" ht="15" hidden="false" customHeight="false" outlineLevel="0" collapsed="false">
      <c r="A31" s="4" t="s">
        <v>49</v>
      </c>
      <c r="B31" s="5" t="s">
        <v>50</v>
      </c>
    </row>
    <row r="32" customFormat="false" ht="15" hidden="false" customHeight="false" outlineLevel="0" collapsed="false">
      <c r="A32" s="4" t="s">
        <v>51</v>
      </c>
      <c r="B32" s="5" t="s">
        <v>52</v>
      </c>
    </row>
    <row r="33" customFormat="false" ht="15" hidden="false" customHeight="false" outlineLevel="0" collapsed="false">
      <c r="A33" s="4" t="s">
        <v>53</v>
      </c>
      <c r="B33" s="5" t="s">
        <v>54</v>
      </c>
    </row>
    <row r="34" customFormat="false" ht="15" hidden="false" customHeight="false" outlineLevel="0" collapsed="false">
      <c r="A34" s="4" t="s">
        <v>55</v>
      </c>
      <c r="B34" s="5" t="s">
        <v>56</v>
      </c>
    </row>
    <row r="35" customFormat="false" ht="15" hidden="false" customHeight="false" outlineLevel="0" collapsed="false">
      <c r="A35" s="3"/>
    </row>
    <row r="36" customFormat="false" ht="15" hidden="false" customHeight="false" outlineLevel="0" collapsed="false">
      <c r="A36" s="3" t="s">
        <v>57</v>
      </c>
    </row>
    <row r="37" customFormat="false" ht="23.85" hidden="false" customHeight="false" outlineLevel="0" collapsed="false">
      <c r="A37" s="4" t="s">
        <v>58</v>
      </c>
      <c r="B37" s="5" t="s">
        <v>59</v>
      </c>
    </row>
    <row r="38" customFormat="false" ht="23.85" hidden="false" customHeight="false" outlineLevel="0" collapsed="false">
      <c r="A38" s="4" t="s">
        <v>60</v>
      </c>
      <c r="B38" s="5" t="s">
        <v>61</v>
      </c>
    </row>
    <row r="39" customFormat="false" ht="15" hidden="false" customHeight="false" outlineLevel="0" collapsed="false">
      <c r="A39" s="4" t="s">
        <v>62</v>
      </c>
      <c r="B39" s="5" t="s">
        <v>63</v>
      </c>
    </row>
    <row r="40" customFormat="false" ht="15" hidden="false" customHeight="false" outlineLevel="0" collapsed="false">
      <c r="A40" s="4" t="s">
        <v>64</v>
      </c>
      <c r="B40" s="5" t="s">
        <v>65</v>
      </c>
    </row>
    <row r="41" customFormat="false" ht="23.85" hidden="false" customHeight="false" outlineLevel="0" collapsed="false">
      <c r="A41" s="4" t="s">
        <v>66</v>
      </c>
      <c r="B41" s="5" t="s">
        <v>67</v>
      </c>
    </row>
    <row r="42" customFormat="false" ht="15" hidden="false" customHeight="false" outlineLevel="0" collapsed="false">
      <c r="A42" s="4" t="s">
        <v>68</v>
      </c>
      <c r="B42" s="5" t="s">
        <v>69</v>
      </c>
    </row>
    <row r="43" customFormat="false" ht="15" hidden="false" customHeight="false" outlineLevel="0" collapsed="false">
      <c r="A43" s="4" t="s">
        <v>70</v>
      </c>
      <c r="B43" s="5" t="s">
        <v>71</v>
      </c>
    </row>
    <row r="44" customFormat="false" ht="23.85" hidden="false" customHeight="false" outlineLevel="0" collapsed="false">
      <c r="A44" s="4" t="s">
        <v>72</v>
      </c>
      <c r="B44" s="5" t="s">
        <v>73</v>
      </c>
    </row>
    <row r="45" customFormat="false" ht="15" hidden="false" customHeight="false" outlineLevel="0" collapsed="false">
      <c r="A45" s="4" t="s">
        <v>74</v>
      </c>
      <c r="B45" s="5" t="s">
        <v>75</v>
      </c>
    </row>
    <row r="46" customFormat="false" ht="23.85" hidden="false" customHeight="false" outlineLevel="0" collapsed="false">
      <c r="A46" s="4" t="s">
        <v>76</v>
      </c>
      <c r="B46" s="5" t="s">
        <v>77</v>
      </c>
    </row>
    <row r="47" customFormat="false" ht="15" hidden="false" customHeight="false" outlineLevel="0" collapsed="false">
      <c r="A47" s="4" t="s">
        <v>78</v>
      </c>
      <c r="B47" s="5" t="s">
        <v>79</v>
      </c>
    </row>
    <row r="48" customFormat="false" ht="15" hidden="false" customHeight="false" outlineLevel="0" collapsed="false">
      <c r="A48" s="4" t="s">
        <v>80</v>
      </c>
      <c r="B48" s="5" t="s">
        <v>81</v>
      </c>
    </row>
    <row r="49" customFormat="false" ht="23.85" hidden="false" customHeight="false" outlineLevel="0" collapsed="false">
      <c r="A49" s="4" t="s">
        <v>82</v>
      </c>
      <c r="B49" s="5" t="s">
        <v>83</v>
      </c>
    </row>
    <row r="50" customFormat="false" ht="23.85" hidden="false" customHeight="false" outlineLevel="0" collapsed="false">
      <c r="A50" s="4" t="s">
        <v>84</v>
      </c>
      <c r="B50" s="5" t="s">
        <v>85</v>
      </c>
    </row>
    <row r="51" customFormat="false" ht="15" hidden="false" customHeight="false" outlineLevel="0" collapsed="false">
      <c r="A51" s="4" t="s">
        <v>86</v>
      </c>
      <c r="B51" s="5" t="s">
        <v>87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0"/>
    <col collapsed="false" customWidth="true" hidden="false" outlineLevel="0" max="2" min="2" style="0" width="11"/>
    <col collapsed="false" customWidth="true" hidden="false" outlineLevel="0" max="6" min="3" style="0" width="10"/>
  </cols>
  <sheetData>
    <row r="1" customFormat="false" ht="19.7" hidden="false" customHeight="false" outlineLevel="0" collapsed="false">
      <c r="A1" s="1" t="s">
        <v>88</v>
      </c>
    </row>
    <row r="2" customFormat="false" ht="15" hidden="false" customHeight="false" outlineLevel="0" collapsed="false">
      <c r="A2" s="2" t="s">
        <v>89</v>
      </c>
    </row>
    <row r="4" customFormat="false" ht="31.5" hidden="false" customHeight="true" outlineLevel="0" collapsed="false">
      <c r="A4" s="6" t="s">
        <v>90</v>
      </c>
      <c r="B4" s="6" t="s">
        <v>91</v>
      </c>
      <c r="C4" s="7" t="s">
        <v>92</v>
      </c>
      <c r="D4" s="7" t="s">
        <v>93</v>
      </c>
      <c r="E4" s="7" t="s">
        <v>94</v>
      </c>
      <c r="F4" s="7" t="s">
        <v>24</v>
      </c>
    </row>
    <row r="5" customFormat="false" ht="15" hidden="false" customHeight="false" outlineLevel="0" collapsed="false">
      <c r="A5" s="8" t="s">
        <v>95</v>
      </c>
      <c r="B5" s="8" t="s">
        <v>96</v>
      </c>
      <c r="C5" s="8" t="n">
        <f aca="false">INDEX('Unified Comparison'!$E$5:$E$28,MATCH(1,INDEX(('Unified Comparison'!$B$5:$B$28=A5)*('Unified Comparison'!$C$5:$C$28=B5),0),0))</f>
        <v>1383</v>
      </c>
      <c r="D5" s="8" t="n">
        <f aca="false">INDEX('Unified Comparison'!$F$5:$F$28,MATCH(1,INDEX(('Unified Comparison'!$B$5:$B$28=A5)*('Unified Comparison'!$C$5:$C$28=B5),0),0))</f>
        <v>1586</v>
      </c>
      <c r="E5" s="8" t="n">
        <f aca="false">INDEX('Unified Comparison'!$G$5:$G$28,MATCH(1,INDEX(('Unified Comparison'!$B$5:$B$28=A5)*('Unified Comparison'!$C$5:$C$28=B5),0),0))</f>
        <v>1842</v>
      </c>
      <c r="F5" s="9" t="n">
        <f aca="false">INDEX('Unified Comparison'!$H$5:$H$28,MATCH(1,INDEX(('Unified Comparison'!$B$5:$B$28=A5)*('Unified Comparison'!$C$5:$C$28=B5),0),0))</f>
        <v>0.994</v>
      </c>
    </row>
    <row r="6" customFormat="false" ht="15" hidden="false" customHeight="false" outlineLevel="0" collapsed="false">
      <c r="A6" s="10" t="s">
        <v>97</v>
      </c>
      <c r="B6" s="10" t="s">
        <v>96</v>
      </c>
      <c r="C6" s="10" t="n">
        <f aca="false">INDEX('Unified Comparison'!$E$5:$E$28,MATCH(1,INDEX(('Unified Comparison'!$B$5:$B$28=A6)*('Unified Comparison'!$C$5:$C$28=B6),0),0))</f>
        <v>634</v>
      </c>
      <c r="D6" s="10" t="n">
        <f aca="false">INDEX('Unified Comparison'!$F$5:$F$28,MATCH(1,INDEX(('Unified Comparison'!$B$5:$B$28=A6)*('Unified Comparison'!$C$5:$C$28=B6),0),0))</f>
        <v>1216</v>
      </c>
      <c r="E6" s="10" t="n">
        <f aca="false">INDEX('Unified Comparison'!$G$5:$G$28,MATCH(1,INDEX(('Unified Comparison'!$B$5:$B$28=A6)*('Unified Comparison'!$C$5:$C$28=B6),0),0))</f>
        <v>1883</v>
      </c>
      <c r="F6" s="11" t="n">
        <f aca="false">INDEX('Unified Comparison'!$H$5:$H$28,MATCH(1,INDEX(('Unified Comparison'!$B$5:$B$28=A6)*('Unified Comparison'!$C$5:$C$28=B6),0),0))</f>
        <v>0.9968</v>
      </c>
    </row>
    <row r="7" customFormat="false" ht="15" hidden="false" customHeight="false" outlineLevel="0" collapsed="false">
      <c r="A7" s="8" t="s">
        <v>98</v>
      </c>
      <c r="B7" s="8" t="s">
        <v>96</v>
      </c>
      <c r="C7" s="8" t="n">
        <f aca="false">INDEX('Unified Comparison'!$E$5:$E$28,MATCH(1,INDEX(('Unified Comparison'!$B$5:$B$28=A7)*('Unified Comparison'!$C$5:$C$28=B7),0),0))</f>
        <v>1324</v>
      </c>
      <c r="D7" s="8" t="n">
        <f aca="false">INDEX('Unified Comparison'!$F$5:$F$28,MATCH(1,INDEX(('Unified Comparison'!$B$5:$B$28=A7)*('Unified Comparison'!$C$5:$C$28=B7),0),0))</f>
        <v>2352</v>
      </c>
      <c r="E7" s="8" t="n">
        <f aca="false">INDEX('Unified Comparison'!$G$5:$G$28,MATCH(1,INDEX(('Unified Comparison'!$B$5:$B$28=A7)*('Unified Comparison'!$C$5:$C$28=B7),0),0))</f>
        <v>3504</v>
      </c>
      <c r="F7" s="9" t="n">
        <f aca="false">INDEX('Unified Comparison'!$H$5:$H$28,MATCH(1,INDEX(('Unified Comparison'!$B$5:$B$28=A7)*('Unified Comparison'!$C$5:$C$28=B7),0),0))</f>
        <v>0.9942</v>
      </c>
    </row>
    <row r="8" customFormat="false" ht="15" hidden="false" customHeight="false" outlineLevel="0" collapsed="false">
      <c r="A8" s="10" t="s">
        <v>99</v>
      </c>
      <c r="B8" s="10" t="s">
        <v>100</v>
      </c>
      <c r="C8" s="10" t="n">
        <f aca="false">INDEX('Unified Comparison'!$E$5:$E$28,MATCH(1,INDEX(('Unified Comparison'!$B$5:$B$28=A8)*('Unified Comparison'!$C$5:$C$28=B8),0),0))</f>
        <v>1247</v>
      </c>
      <c r="D8" s="10" t="n">
        <f aca="false">INDEX('Unified Comparison'!$F$5:$F$28,MATCH(1,INDEX(('Unified Comparison'!$B$5:$B$28=A8)*('Unified Comparison'!$C$5:$C$28=B8),0),0))</f>
        <v>1600</v>
      </c>
      <c r="E8" s="10" t="n">
        <f aca="false">INDEX('Unified Comparison'!$G$5:$G$28,MATCH(1,INDEX(('Unified Comparison'!$B$5:$B$28=A8)*('Unified Comparison'!$C$5:$C$28=B8),0),0))</f>
        <v>1649</v>
      </c>
      <c r="F8" s="11" t="n">
        <f aca="false">INDEX('Unified Comparison'!$H$5:$H$28,MATCH(1,INDEX(('Unified Comparison'!$B$5:$B$28=A8)*('Unified Comparison'!$C$5:$C$28=B8),0),0))</f>
        <v>0.9979</v>
      </c>
    </row>
    <row r="9" customFormat="false" ht="15" hidden="false" customHeight="false" outlineLevel="0" collapsed="false">
      <c r="A9" s="8" t="s">
        <v>101</v>
      </c>
      <c r="B9" s="8" t="s">
        <v>100</v>
      </c>
      <c r="C9" s="8" t="n">
        <f aca="false">INDEX('Unified Comparison'!$E$5:$E$28,MATCH(1,INDEX(('Unified Comparison'!$B$5:$B$28=A9)*('Unified Comparison'!$C$5:$C$28=B9),0),0))</f>
        <v>2347</v>
      </c>
      <c r="D9" s="8" t="n">
        <f aca="false">INDEX('Unified Comparison'!$F$5:$F$28,MATCH(1,INDEX(('Unified Comparison'!$B$5:$B$28=A9)*('Unified Comparison'!$C$5:$C$28=B9),0),0))</f>
        <v>2449</v>
      </c>
      <c r="E9" s="8" t="n">
        <f aca="false">INDEX('Unified Comparison'!$G$5:$G$28,MATCH(1,INDEX(('Unified Comparison'!$B$5:$B$28=A9)*('Unified Comparison'!$C$5:$C$28=B9),0),0))</f>
        <v>2499</v>
      </c>
      <c r="F9" s="9" t="n">
        <f aca="false">INDEX('Unified Comparison'!$H$5:$H$28,MATCH(1,INDEX(('Unified Comparison'!$B$5:$B$28=A9)*('Unified Comparison'!$C$5:$C$28=B9),0),0))</f>
        <v>0.9733</v>
      </c>
    </row>
    <row r="10" customFormat="false" ht="15" hidden="false" customHeight="false" outlineLevel="0" collapsed="false">
      <c r="A10" s="10" t="s">
        <v>102</v>
      </c>
      <c r="B10" s="10" t="s">
        <v>103</v>
      </c>
      <c r="C10" s="10" t="n">
        <f aca="false">INDEX('Unified Comparison'!$E$5:$E$28,MATCH(1,INDEX(('Unified Comparison'!$B$5:$B$28=A10)*('Unified Comparison'!$C$5:$C$28=B10),0),0))</f>
        <v>1730</v>
      </c>
      <c r="D10" s="10" t="n">
        <f aca="false">INDEX('Unified Comparison'!$F$5:$F$28,MATCH(1,INDEX(('Unified Comparison'!$B$5:$B$28=A10)*('Unified Comparison'!$C$5:$C$28=B10),0),0))</f>
        <v>2081</v>
      </c>
      <c r="E10" s="10" t="n">
        <f aca="false">INDEX('Unified Comparison'!$G$5:$G$28,MATCH(1,INDEX(('Unified Comparison'!$B$5:$B$28=A10)*('Unified Comparison'!$C$5:$C$28=B10),0),0))</f>
        <v>2703</v>
      </c>
      <c r="F10" s="11" t="n">
        <f aca="false">INDEX('Unified Comparison'!$H$5:$H$28,MATCH(1,INDEX(('Unified Comparison'!$B$5:$B$28=A10)*('Unified Comparison'!$C$5:$C$28=B10),0),0))</f>
        <v>0.9772</v>
      </c>
    </row>
    <row r="11" customFormat="false" ht="15" hidden="false" customHeight="false" outlineLevel="0" collapsed="false">
      <c r="A11" s="8" t="s">
        <v>104</v>
      </c>
      <c r="B11" s="8" t="s">
        <v>103</v>
      </c>
      <c r="C11" s="8" t="n">
        <f aca="false">INDEX('Unified Comparison'!$E$5:$E$28,MATCH(1,INDEX(('Unified Comparison'!$B$5:$B$28=A11)*('Unified Comparison'!$C$5:$C$28=B11),0),0))</f>
        <v>1551</v>
      </c>
      <c r="D11" s="8" t="n">
        <f aca="false">INDEX('Unified Comparison'!$F$5:$F$28,MATCH(1,INDEX(('Unified Comparison'!$B$5:$B$28=A11)*('Unified Comparison'!$C$5:$C$28=B11),0),0))</f>
        <v>1976</v>
      </c>
      <c r="E11" s="8" t="n">
        <f aca="false">INDEX('Unified Comparison'!$G$5:$G$28,MATCH(1,INDEX(('Unified Comparison'!$B$5:$B$28=A11)*('Unified Comparison'!$C$5:$C$28=B11),0),0))</f>
        <v>2066</v>
      </c>
      <c r="F11" s="9" t="n">
        <f aca="false">INDEX('Unified Comparison'!$H$5:$H$28,MATCH(1,INDEX(('Unified Comparison'!$B$5:$B$28=A11)*('Unified Comparison'!$C$5:$C$28=B11),0),0))</f>
        <v>0.98432</v>
      </c>
    </row>
    <row r="12" customFormat="false" ht="15" hidden="false" customHeight="false" outlineLevel="0" collapsed="false">
      <c r="A12" s="10" t="s">
        <v>105</v>
      </c>
      <c r="B12" s="10" t="s">
        <v>103</v>
      </c>
      <c r="C12" s="10" t="n">
        <f aca="false">INDEX('Unified Comparison'!$E$5:$E$28,MATCH(1,INDEX(('Unified Comparison'!$B$5:$B$28=A12)*('Unified Comparison'!$C$5:$C$28=B12),0),0))</f>
        <v>1491</v>
      </c>
      <c r="D12" s="10" t="n">
        <f aca="false">INDEX('Unified Comparison'!$F$5:$F$28,MATCH(1,INDEX(('Unified Comparison'!$B$5:$B$28=A12)*('Unified Comparison'!$C$5:$C$28=B12),0),0))</f>
        <v>1991</v>
      </c>
      <c r="E12" s="10" t="n">
        <f aca="false">INDEX('Unified Comparison'!$G$5:$G$28,MATCH(1,INDEX(('Unified Comparison'!$B$5:$B$28=A12)*('Unified Comparison'!$C$5:$C$28=B12),0),0))</f>
        <v>2086</v>
      </c>
      <c r="F12" s="11" t="n">
        <f aca="false">INDEX('Unified Comparison'!$H$5:$H$28,MATCH(1,INDEX(('Unified Comparison'!$B$5:$B$28=A12)*('Unified Comparison'!$C$5:$C$28=B12),0),0))</f>
        <v>0.9849</v>
      </c>
    </row>
    <row r="13" customFormat="false" ht="15" hidden="false" customHeight="false" outlineLevel="0" collapsed="false">
      <c r="A13" s="12" t="s">
        <v>106</v>
      </c>
      <c r="B13" s="12" t="s">
        <v>103</v>
      </c>
      <c r="C13" s="12" t="n">
        <f aca="false">INDEX('Unified Comparison'!$E$5:$E$28,MATCH(1,INDEX(('Unified Comparison'!$B$5:$B$28=A13)*('Unified Comparison'!$C$5:$C$28=B13),0),0))</f>
        <v>2621</v>
      </c>
      <c r="D13" s="12" t="n">
        <f aca="false">INDEX('Unified Comparison'!$F$5:$F$28,MATCH(1,INDEX(('Unified Comparison'!$B$5:$B$28=A13)*('Unified Comparison'!$C$5:$C$28=B13),0),0))</f>
        <v>2711</v>
      </c>
      <c r="E13" s="12" t="n">
        <f aca="false">INDEX('Unified Comparison'!$G$5:$G$28,MATCH(1,INDEX(('Unified Comparison'!$B$5:$B$28=A13)*('Unified Comparison'!$C$5:$C$28=B13),0),0))</f>
        <v>2756</v>
      </c>
      <c r="F13" s="13" t="n">
        <f aca="false">INDEX('Unified Comparison'!$H$5:$H$28,MATCH(1,INDEX(('Unified Comparison'!$B$5:$B$28=A13)*('Unified Comparison'!$C$5:$C$28=B13),0),0))</f>
        <v>0.992668</v>
      </c>
    </row>
    <row r="15" customFormat="false" ht="15" hidden="false" customHeight="false" outlineLevel="0" collapsed="false">
      <c r="A15" s="3" t="s">
        <v>107</v>
      </c>
    </row>
    <row r="16" customFormat="false" ht="15" hidden="false" customHeight="false" outlineLevel="0" collapsed="false">
      <c r="A16" s="14" t="s">
        <v>108</v>
      </c>
      <c r="C16" s="15" t="n">
        <f aca="false">C13/C9-1</f>
        <v>0.116744780570942</v>
      </c>
    </row>
    <row r="17" customFormat="false" ht="15" hidden="false" customHeight="false" outlineLevel="0" collapsed="false">
      <c r="A17" s="14" t="s">
        <v>109</v>
      </c>
      <c r="C17" s="15" t="n">
        <f aca="false">C13/C5-1</f>
        <v>0.895155459146782</v>
      </c>
    </row>
    <row r="18" customFormat="false" ht="15" hidden="false" customHeight="false" outlineLevel="0" collapsed="false">
      <c r="A18" s="14" t="s">
        <v>110</v>
      </c>
      <c r="C18" s="16" t="n">
        <f aca="false">(F13-F11)*100</f>
        <v>0.834800000000002</v>
      </c>
    </row>
    <row r="19" customFormat="false" ht="15" hidden="false" customHeight="false" outlineLevel="0" collapsed="false">
      <c r="A19" s="14" t="s">
        <v>111</v>
      </c>
      <c r="C19" s="15" t="n">
        <f aca="false">'Center vs Far BS'!F9/'Center vs Far BS'!F7-1</f>
        <v>0.355450236966825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15"/>
    <col collapsed="false" customWidth="true" hidden="false" outlineLevel="0" max="4" min="4" style="0" width="52"/>
    <col collapsed="false" customWidth="true" hidden="false" outlineLevel="0" max="7" min="5" style="0" width="9"/>
    <col collapsed="false" customWidth="true" hidden="false" outlineLevel="0" max="8" min="8" style="0" width="10"/>
    <col collapsed="false" customWidth="true" hidden="false" outlineLevel="0" max="10" min="9" style="0" width="12"/>
    <col collapsed="false" customWidth="true" hidden="false" outlineLevel="0" max="12" min="11" style="0" width="9"/>
  </cols>
  <sheetData>
    <row r="1" customFormat="false" ht="19.7" hidden="false" customHeight="false" outlineLevel="0" collapsed="false">
      <c r="A1" s="1" t="s">
        <v>112</v>
      </c>
    </row>
    <row r="2" customFormat="false" ht="15" hidden="false" customHeight="false" outlineLevel="0" collapsed="false">
      <c r="A2" s="2" t="s">
        <v>113</v>
      </c>
    </row>
    <row r="4" customFormat="false" ht="31.5" hidden="false" customHeight="true" outlineLevel="0" collapsed="false">
      <c r="A4" s="6" t="s">
        <v>114</v>
      </c>
      <c r="B4" s="6" t="s">
        <v>115</v>
      </c>
      <c r="C4" s="6" t="s">
        <v>91</v>
      </c>
      <c r="D4" s="6" t="s">
        <v>116</v>
      </c>
      <c r="E4" s="6" t="s">
        <v>92</v>
      </c>
      <c r="F4" s="6" t="s">
        <v>93</v>
      </c>
      <c r="G4" s="6" t="s">
        <v>94</v>
      </c>
      <c r="H4" s="6" t="s">
        <v>24</v>
      </c>
      <c r="I4" s="7" t="s">
        <v>117</v>
      </c>
      <c r="J4" s="7" t="s">
        <v>118</v>
      </c>
      <c r="K4" s="7" t="s">
        <v>119</v>
      </c>
      <c r="L4" s="7" t="s">
        <v>120</v>
      </c>
    </row>
    <row r="5" customFormat="false" ht="15" hidden="false" customHeight="false" outlineLevel="0" collapsed="false">
      <c r="A5" s="17" t="s">
        <v>121</v>
      </c>
      <c r="B5" s="17" t="s">
        <v>95</v>
      </c>
      <c r="C5" s="17" t="s">
        <v>96</v>
      </c>
      <c r="D5" s="17" t="s">
        <v>122</v>
      </c>
      <c r="E5" s="18" t="n">
        <v>1383</v>
      </c>
      <c r="F5" s="18" t="n">
        <v>1586</v>
      </c>
      <c r="G5" s="18" t="n">
        <v>1842</v>
      </c>
      <c r="H5" s="19" t="n">
        <v>0.994</v>
      </c>
      <c r="I5" s="20" t="n">
        <f aca="false">G5/$G$5-1</f>
        <v>0</v>
      </c>
      <c r="J5" s="21" t="n">
        <f aca="false">E5/G5</f>
        <v>0.750814332247557</v>
      </c>
      <c r="K5" s="17" t="n">
        <f aca="false">RANK(G5,$G$5:$G$28)</f>
        <v>20</v>
      </c>
      <c r="L5" s="17" t="n">
        <f aca="false">RANK(H5,$H$5:$H$28)</f>
        <v>7</v>
      </c>
    </row>
    <row r="6" customFormat="false" ht="15" hidden="false" customHeight="false" outlineLevel="0" collapsed="false">
      <c r="A6" s="22" t="s">
        <v>121</v>
      </c>
      <c r="B6" s="22" t="s">
        <v>97</v>
      </c>
      <c r="C6" s="22" t="s">
        <v>96</v>
      </c>
      <c r="D6" s="23" t="s">
        <v>123</v>
      </c>
      <c r="E6" s="24" t="n">
        <v>634</v>
      </c>
      <c r="F6" s="24" t="n">
        <v>1216</v>
      </c>
      <c r="G6" s="24" t="n">
        <v>1883</v>
      </c>
      <c r="H6" s="25" t="n">
        <v>0.9968</v>
      </c>
      <c r="I6" s="26" t="n">
        <f aca="false">G6/$G$5-1</f>
        <v>0.0222584147665581</v>
      </c>
      <c r="J6" s="27" t="n">
        <f aca="false">E6/G6</f>
        <v>0.336696760488582</v>
      </c>
      <c r="K6" s="22" t="n">
        <f aca="false">RANK(G6,$G$5:$G$28)</f>
        <v>19</v>
      </c>
      <c r="L6" s="22" t="n">
        <f aca="false">RANK(H6,$H$5:$H$28)</f>
        <v>5</v>
      </c>
    </row>
    <row r="7" customFormat="false" ht="15" hidden="false" customHeight="false" outlineLevel="0" collapsed="false">
      <c r="A7" s="17" t="s">
        <v>121</v>
      </c>
      <c r="B7" s="17" t="s">
        <v>124</v>
      </c>
      <c r="C7" s="17" t="s">
        <v>125</v>
      </c>
      <c r="D7" s="17" t="s">
        <v>126</v>
      </c>
      <c r="E7" s="18" t="n">
        <v>743</v>
      </c>
      <c r="F7" s="18" t="n">
        <v>1154</v>
      </c>
      <c r="G7" s="18" t="n">
        <v>1960</v>
      </c>
      <c r="H7" s="19" t="n">
        <v>0.9974</v>
      </c>
      <c r="I7" s="20" t="n">
        <f aca="false">G7/$G$5-1</f>
        <v>0.0640608034744843</v>
      </c>
      <c r="J7" s="21" t="n">
        <f aca="false">E7/G7</f>
        <v>0.379081632653061</v>
      </c>
      <c r="K7" s="17" t="n">
        <f aca="false">RANK(G7,$G$5:$G$28)</f>
        <v>18</v>
      </c>
      <c r="L7" s="17" t="n">
        <f aca="false">RANK(H7,$H$5:$H$28)</f>
        <v>3</v>
      </c>
    </row>
    <row r="8" customFormat="false" ht="15" hidden="false" customHeight="false" outlineLevel="0" collapsed="false">
      <c r="A8" s="22" t="s">
        <v>121</v>
      </c>
      <c r="B8" s="22" t="s">
        <v>98</v>
      </c>
      <c r="C8" s="22" t="s">
        <v>96</v>
      </c>
      <c r="D8" s="23" t="s">
        <v>127</v>
      </c>
      <c r="E8" s="24" t="n">
        <v>1324</v>
      </c>
      <c r="F8" s="24" t="n">
        <v>2352</v>
      </c>
      <c r="G8" s="24" t="n">
        <v>3504</v>
      </c>
      <c r="H8" s="25" t="n">
        <v>0.9942</v>
      </c>
      <c r="I8" s="26" t="n">
        <f aca="false">G8/$G$5-1</f>
        <v>0.90228013029316</v>
      </c>
      <c r="J8" s="27" t="n">
        <f aca="false">E8/G8</f>
        <v>0.377853881278539</v>
      </c>
      <c r="K8" s="22" t="n">
        <f aca="false">RANK(G8,$G$5:$G$28)</f>
        <v>2</v>
      </c>
      <c r="L8" s="22" t="n">
        <f aca="false">RANK(H8,$H$5:$H$28)</f>
        <v>6</v>
      </c>
    </row>
    <row r="9" customFormat="false" ht="15" hidden="false" customHeight="false" outlineLevel="0" collapsed="false">
      <c r="A9" s="17" t="s">
        <v>128</v>
      </c>
      <c r="B9" s="17" t="s">
        <v>99</v>
      </c>
      <c r="C9" s="17" t="s">
        <v>96</v>
      </c>
      <c r="D9" s="28" t="s">
        <v>129</v>
      </c>
      <c r="E9" s="18" t="n">
        <v>1440</v>
      </c>
      <c r="F9" s="18" t="n">
        <v>1584</v>
      </c>
      <c r="G9" s="18" t="n">
        <v>1604</v>
      </c>
      <c r="H9" s="19" t="n">
        <v>0.9917</v>
      </c>
      <c r="I9" s="20" t="n">
        <f aca="false">G9/$G$5-1</f>
        <v>-0.129207383279044</v>
      </c>
      <c r="J9" s="21" t="n">
        <f aca="false">E9/G9</f>
        <v>0.897755610972569</v>
      </c>
      <c r="K9" s="17" t="n">
        <f aca="false">RANK(G9,$G$5:$G$28)</f>
        <v>22</v>
      </c>
      <c r="L9" s="17" t="n">
        <f aca="false">RANK(H9,$H$5:$H$28)</f>
        <v>10</v>
      </c>
    </row>
    <row r="10" customFormat="false" ht="15" hidden="false" customHeight="false" outlineLevel="0" collapsed="false">
      <c r="A10" s="22" t="s">
        <v>128</v>
      </c>
      <c r="B10" s="22" t="s">
        <v>99</v>
      </c>
      <c r="C10" s="22" t="s">
        <v>100</v>
      </c>
      <c r="D10" s="23" t="s">
        <v>130</v>
      </c>
      <c r="E10" s="24" t="n">
        <v>1247</v>
      </c>
      <c r="F10" s="24" t="n">
        <v>1600</v>
      </c>
      <c r="G10" s="24" t="n">
        <v>1649</v>
      </c>
      <c r="H10" s="25" t="n">
        <v>0.9979</v>
      </c>
      <c r="I10" s="26" t="n">
        <f aca="false">G10/$G$5-1</f>
        <v>-0.104777415852334</v>
      </c>
      <c r="J10" s="27" t="n">
        <f aca="false">E10/G10</f>
        <v>0.756215888417223</v>
      </c>
      <c r="K10" s="22" t="n">
        <f aca="false">RANK(G10,$G$5:$G$28)</f>
        <v>21</v>
      </c>
      <c r="L10" s="22" t="n">
        <f aca="false">RANK(H10,$H$5:$H$28)</f>
        <v>1</v>
      </c>
    </row>
    <row r="11" customFormat="false" ht="15" hidden="false" customHeight="false" outlineLevel="0" collapsed="false">
      <c r="A11" s="17" t="s">
        <v>128</v>
      </c>
      <c r="B11" s="17" t="s">
        <v>101</v>
      </c>
      <c r="C11" s="17" t="s">
        <v>96</v>
      </c>
      <c r="D11" s="17" t="s">
        <v>131</v>
      </c>
      <c r="E11" s="18" t="n">
        <v>2177</v>
      </c>
      <c r="F11" s="18" t="n">
        <v>2255</v>
      </c>
      <c r="G11" s="18" t="n">
        <v>2305</v>
      </c>
      <c r="H11" s="19" t="n">
        <v>0.9733</v>
      </c>
      <c r="I11" s="20" t="n">
        <f aca="false">G11/$G$5-1</f>
        <v>0.251357220412595</v>
      </c>
      <c r="J11" s="21" t="n">
        <f aca="false">E11/G11</f>
        <v>0.944468546637744</v>
      </c>
      <c r="K11" s="17" t="n">
        <f aca="false">RANK(G11,$G$5:$G$28)</f>
        <v>10</v>
      </c>
      <c r="L11" s="17" t="n">
        <f aca="false">RANK(H11,$H$5:$H$28)</f>
        <v>18</v>
      </c>
    </row>
    <row r="12" customFormat="false" ht="15" hidden="false" customHeight="false" outlineLevel="0" collapsed="false">
      <c r="A12" s="22" t="s">
        <v>128</v>
      </c>
      <c r="B12" s="22" t="s">
        <v>101</v>
      </c>
      <c r="C12" s="22" t="s">
        <v>100</v>
      </c>
      <c r="D12" s="22" t="s">
        <v>132</v>
      </c>
      <c r="E12" s="24" t="n">
        <v>2347</v>
      </c>
      <c r="F12" s="24" t="n">
        <v>2449</v>
      </c>
      <c r="G12" s="24" t="n">
        <v>2499</v>
      </c>
      <c r="H12" s="25" t="n">
        <v>0.9733</v>
      </c>
      <c r="I12" s="26" t="n">
        <f aca="false">G12/$G$5-1</f>
        <v>0.356677524429967</v>
      </c>
      <c r="J12" s="27" t="n">
        <f aca="false">E12/G12</f>
        <v>0.939175670268107</v>
      </c>
      <c r="K12" s="22" t="n">
        <f aca="false">RANK(G12,$G$5:$G$28)</f>
        <v>8</v>
      </c>
      <c r="L12" s="22" t="n">
        <f aca="false">RANK(H12,$H$5:$H$28)</f>
        <v>18</v>
      </c>
    </row>
    <row r="13" customFormat="false" ht="15" hidden="false" customHeight="false" outlineLevel="0" collapsed="false">
      <c r="A13" s="17" t="s">
        <v>133</v>
      </c>
      <c r="B13" s="17" t="s">
        <v>134</v>
      </c>
      <c r="C13" s="17" t="s">
        <v>96</v>
      </c>
      <c r="D13" s="17" t="s">
        <v>135</v>
      </c>
      <c r="E13" s="18" t="n">
        <v>1653</v>
      </c>
      <c r="F13" s="18" t="n">
        <v>2134</v>
      </c>
      <c r="G13" s="18" t="n">
        <v>2184</v>
      </c>
      <c r="H13" s="19" t="n">
        <v>0.9168</v>
      </c>
      <c r="I13" s="20" t="n">
        <f aca="false">G13/$G$5-1</f>
        <v>0.185667752442997</v>
      </c>
      <c r="J13" s="21" t="n">
        <f aca="false">E13/G13</f>
        <v>0.756868131868132</v>
      </c>
      <c r="K13" s="17" t="n">
        <f aca="false">RANK(G13,$G$5:$G$28)</f>
        <v>13</v>
      </c>
      <c r="L13" s="17" t="n">
        <f aca="false">RANK(H13,$H$5:$H$28)</f>
        <v>24</v>
      </c>
    </row>
    <row r="14" customFormat="false" ht="15" hidden="false" customHeight="false" outlineLevel="0" collapsed="false">
      <c r="A14" s="22" t="s">
        <v>133</v>
      </c>
      <c r="B14" s="22" t="s">
        <v>134</v>
      </c>
      <c r="C14" s="22" t="s">
        <v>100</v>
      </c>
      <c r="D14" s="23" t="s">
        <v>136</v>
      </c>
      <c r="E14" s="24" t="n">
        <v>2502</v>
      </c>
      <c r="F14" s="24" t="n">
        <v>3758</v>
      </c>
      <c r="G14" s="24" t="n">
        <v>3808</v>
      </c>
      <c r="H14" s="25" t="n">
        <v>0.9214</v>
      </c>
      <c r="I14" s="26" t="n">
        <f aca="false">G14/$G$5-1</f>
        <v>1.06731813246471</v>
      </c>
      <c r="J14" s="27" t="n">
        <f aca="false">E14/G14</f>
        <v>0.65703781512605</v>
      </c>
      <c r="K14" s="22" t="n">
        <f aca="false">RANK(G14,$G$5:$G$28)</f>
        <v>1</v>
      </c>
      <c r="L14" s="22" t="n">
        <f aca="false">RANK(H14,$H$5:$H$28)</f>
        <v>23</v>
      </c>
    </row>
    <row r="15" customFormat="false" ht="15" hidden="false" customHeight="false" outlineLevel="0" collapsed="false">
      <c r="A15" s="17" t="s">
        <v>103</v>
      </c>
      <c r="B15" s="17" t="s">
        <v>137</v>
      </c>
      <c r="C15" s="17" t="s">
        <v>103</v>
      </c>
      <c r="D15" s="28" t="s">
        <v>138</v>
      </c>
      <c r="E15" s="18" t="n">
        <v>330</v>
      </c>
      <c r="F15" s="18" t="n">
        <v>557</v>
      </c>
      <c r="G15" s="18" t="n">
        <v>1318</v>
      </c>
      <c r="H15" s="19" t="n">
        <v>0.9974</v>
      </c>
      <c r="I15" s="20" t="n">
        <f aca="false">G15/$G$5-1</f>
        <v>-0.284473398479913</v>
      </c>
      <c r="J15" s="21" t="n">
        <f aca="false">E15/G15</f>
        <v>0.250379362670713</v>
      </c>
      <c r="K15" s="17" t="n">
        <f aca="false">RANK(G15,$G$5:$G$28)</f>
        <v>24</v>
      </c>
      <c r="L15" s="17" t="n">
        <f aca="false">RANK(H15,$H$5:$H$28)</f>
        <v>3</v>
      </c>
    </row>
    <row r="16" customFormat="false" ht="15" hidden="false" customHeight="false" outlineLevel="0" collapsed="false">
      <c r="A16" s="22" t="s">
        <v>103</v>
      </c>
      <c r="B16" s="22" t="s">
        <v>139</v>
      </c>
      <c r="C16" s="22" t="s">
        <v>103</v>
      </c>
      <c r="D16" s="22" t="s">
        <v>126</v>
      </c>
      <c r="E16" s="24" t="n">
        <v>345</v>
      </c>
      <c r="F16" s="24" t="n">
        <v>534</v>
      </c>
      <c r="G16" s="24" t="n">
        <v>1393</v>
      </c>
      <c r="H16" s="25" t="n">
        <v>0.9979</v>
      </c>
      <c r="I16" s="26" t="n">
        <f aca="false">G16/$G$5-1</f>
        <v>-0.243756786102063</v>
      </c>
      <c r="J16" s="27" t="n">
        <f aca="false">E16/G16</f>
        <v>0.247666905958363</v>
      </c>
      <c r="K16" s="22" t="n">
        <f aca="false">RANK(G16,$G$5:$G$28)</f>
        <v>23</v>
      </c>
      <c r="L16" s="22" t="n">
        <f aca="false">RANK(H16,$H$5:$H$28)</f>
        <v>1</v>
      </c>
    </row>
    <row r="17" customFormat="false" ht="15" hidden="false" customHeight="false" outlineLevel="0" collapsed="false">
      <c r="A17" s="17" t="s">
        <v>103</v>
      </c>
      <c r="B17" s="17" t="s">
        <v>102</v>
      </c>
      <c r="C17" s="17" t="s">
        <v>103</v>
      </c>
      <c r="D17" s="28" t="s">
        <v>140</v>
      </c>
      <c r="E17" s="18" t="n">
        <v>1730</v>
      </c>
      <c r="F17" s="18" t="n">
        <v>2081</v>
      </c>
      <c r="G17" s="18" t="n">
        <v>2703</v>
      </c>
      <c r="H17" s="19" t="n">
        <v>0.9772</v>
      </c>
      <c r="I17" s="20" t="n">
        <f aca="false">G17/$G$5-1</f>
        <v>0.46742671009772</v>
      </c>
      <c r="J17" s="21" t="n">
        <f aca="false">E17/G17</f>
        <v>0.640029596744358</v>
      </c>
      <c r="K17" s="17" t="n">
        <f aca="false">RANK(G17,$G$5:$G$28)</f>
        <v>6</v>
      </c>
      <c r="L17" s="17" t="n">
        <f aca="false">RANK(H17,$H$5:$H$28)</f>
        <v>16</v>
      </c>
    </row>
    <row r="18" customFormat="false" ht="15" hidden="false" customHeight="false" outlineLevel="0" collapsed="false">
      <c r="A18" s="22" t="s">
        <v>103</v>
      </c>
      <c r="B18" s="22" t="s">
        <v>141</v>
      </c>
      <c r="C18" s="22" t="s">
        <v>103</v>
      </c>
      <c r="D18" s="22" t="s">
        <v>142</v>
      </c>
      <c r="E18" s="24" t="n">
        <v>1513</v>
      </c>
      <c r="F18" s="24" t="n">
        <v>2219</v>
      </c>
      <c r="G18" s="24" t="n">
        <v>2521</v>
      </c>
      <c r="H18" s="25" t="n">
        <v>0.9467</v>
      </c>
      <c r="I18" s="26" t="n">
        <f aca="false">G18/$G$5-1</f>
        <v>0.368621064060803</v>
      </c>
      <c r="J18" s="27" t="n">
        <f aca="false">E18/G18</f>
        <v>0.600158667195557</v>
      </c>
      <c r="K18" s="22" t="n">
        <f aca="false">RANK(G18,$G$5:$G$28)</f>
        <v>7</v>
      </c>
      <c r="L18" s="22" t="n">
        <f aca="false">RANK(H18,$H$5:$H$28)</f>
        <v>22</v>
      </c>
    </row>
    <row r="19" customFormat="false" ht="15" hidden="false" customHeight="false" outlineLevel="0" collapsed="false">
      <c r="A19" s="17" t="s">
        <v>103</v>
      </c>
      <c r="B19" s="17" t="s">
        <v>143</v>
      </c>
      <c r="C19" s="17" t="s">
        <v>103</v>
      </c>
      <c r="D19" s="17" t="s">
        <v>144</v>
      </c>
      <c r="E19" s="18" t="n">
        <v>1513</v>
      </c>
      <c r="F19" s="18" t="n">
        <v>2127</v>
      </c>
      <c r="G19" s="18" t="n">
        <v>2416</v>
      </c>
      <c r="H19" s="19" t="n">
        <v>0.9705</v>
      </c>
      <c r="I19" s="20" t="n">
        <f aca="false">G19/$G$5-1</f>
        <v>0.311617806731813</v>
      </c>
      <c r="J19" s="21" t="n">
        <f aca="false">E19/G19</f>
        <v>0.626241721854305</v>
      </c>
      <c r="K19" s="17" t="n">
        <f aca="false">RANK(G19,$G$5:$G$28)</f>
        <v>9</v>
      </c>
      <c r="L19" s="17" t="n">
        <f aca="false">RANK(H19,$H$5:$H$28)</f>
        <v>21</v>
      </c>
    </row>
    <row r="20" customFormat="false" ht="15" hidden="false" customHeight="false" outlineLevel="0" collapsed="false">
      <c r="A20" s="22" t="s">
        <v>103</v>
      </c>
      <c r="B20" s="22" t="s">
        <v>145</v>
      </c>
      <c r="C20" s="22" t="s">
        <v>103</v>
      </c>
      <c r="D20" s="23" t="s">
        <v>146</v>
      </c>
      <c r="E20" s="24" t="n">
        <v>1730</v>
      </c>
      <c r="F20" s="24" t="n">
        <v>2086</v>
      </c>
      <c r="G20" s="24" t="n">
        <v>2156</v>
      </c>
      <c r="H20" s="25" t="n">
        <v>0.9827</v>
      </c>
      <c r="I20" s="26" t="n">
        <f aca="false">G20/$G$5-1</f>
        <v>0.170466883821933</v>
      </c>
      <c r="J20" s="27" t="n">
        <f aca="false">E20/G20</f>
        <v>0.802411873840445</v>
      </c>
      <c r="K20" s="22" t="n">
        <f aca="false">RANK(G20,$G$5:$G$28)</f>
        <v>14</v>
      </c>
      <c r="L20" s="22" t="n">
        <f aca="false">RANK(H20,$H$5:$H$28)</f>
        <v>13</v>
      </c>
    </row>
    <row r="21" customFormat="false" ht="15" hidden="false" customHeight="false" outlineLevel="0" collapsed="false">
      <c r="A21" s="17" t="s">
        <v>103</v>
      </c>
      <c r="B21" s="17" t="s">
        <v>147</v>
      </c>
      <c r="C21" s="17" t="s">
        <v>103</v>
      </c>
      <c r="D21" s="28" t="s">
        <v>148</v>
      </c>
      <c r="E21" s="18" t="n">
        <v>1621</v>
      </c>
      <c r="F21" s="18" t="n">
        <v>2141</v>
      </c>
      <c r="G21" s="18" t="n">
        <v>2291</v>
      </c>
      <c r="H21" s="19" t="n">
        <v>0.9794</v>
      </c>
      <c r="I21" s="20" t="n">
        <f aca="false">G21/$G$5-1</f>
        <v>0.243756786102063</v>
      </c>
      <c r="J21" s="21" t="n">
        <f aca="false">E21/G21</f>
        <v>0.707551287647316</v>
      </c>
      <c r="K21" s="17" t="n">
        <f aca="false">RANK(G21,$G$5:$G$28)</f>
        <v>11</v>
      </c>
      <c r="L21" s="17" t="n">
        <f aca="false">RANK(H21,$H$5:$H$28)</f>
        <v>14</v>
      </c>
    </row>
    <row r="22" customFormat="false" ht="15" hidden="false" customHeight="false" outlineLevel="0" collapsed="false">
      <c r="A22" s="22" t="s">
        <v>103</v>
      </c>
      <c r="B22" s="22" t="s">
        <v>149</v>
      </c>
      <c r="C22" s="22" t="s">
        <v>103</v>
      </c>
      <c r="D22" s="22" t="s">
        <v>150</v>
      </c>
      <c r="E22" s="24" t="n">
        <v>1551</v>
      </c>
      <c r="F22" s="24" t="n">
        <v>1981</v>
      </c>
      <c r="G22" s="24" t="n">
        <v>2106</v>
      </c>
      <c r="H22" s="25" t="n">
        <v>0.97494</v>
      </c>
      <c r="I22" s="26" t="n">
        <f aca="false">G22/$G$5-1</f>
        <v>0.143322475570033</v>
      </c>
      <c r="J22" s="27" t="n">
        <f aca="false">E22/G22</f>
        <v>0.736467236467236</v>
      </c>
      <c r="K22" s="22" t="n">
        <f aca="false">RANK(G22,$G$5:$G$28)</f>
        <v>15</v>
      </c>
      <c r="L22" s="22" t="n">
        <f aca="false">RANK(H22,$H$5:$H$28)</f>
        <v>17</v>
      </c>
    </row>
    <row r="23" customFormat="false" ht="15" hidden="false" customHeight="false" outlineLevel="0" collapsed="false">
      <c r="A23" s="17" t="s">
        <v>103</v>
      </c>
      <c r="B23" s="17" t="s">
        <v>104</v>
      </c>
      <c r="C23" s="17" t="s">
        <v>103</v>
      </c>
      <c r="D23" s="28" t="s">
        <v>151</v>
      </c>
      <c r="E23" s="18" t="n">
        <v>1551</v>
      </c>
      <c r="F23" s="18" t="n">
        <v>1976</v>
      </c>
      <c r="G23" s="18" t="n">
        <v>2066</v>
      </c>
      <c r="H23" s="19" t="n">
        <v>0.98432</v>
      </c>
      <c r="I23" s="20" t="n">
        <f aca="false">G23/$G$5-1</f>
        <v>0.121606948968513</v>
      </c>
      <c r="J23" s="21" t="n">
        <f aca="false">E23/G23</f>
        <v>0.750726040658277</v>
      </c>
      <c r="K23" s="17" t="n">
        <f aca="false">RANK(G23,$G$5:$G$28)</f>
        <v>17</v>
      </c>
      <c r="L23" s="17" t="n">
        <f aca="false">RANK(H23,$H$5:$H$28)</f>
        <v>12</v>
      </c>
    </row>
    <row r="24" customFormat="false" ht="15" hidden="false" customHeight="false" outlineLevel="0" collapsed="false">
      <c r="A24" s="22" t="s">
        <v>103</v>
      </c>
      <c r="B24" s="22" t="s">
        <v>105</v>
      </c>
      <c r="C24" s="22" t="s">
        <v>103</v>
      </c>
      <c r="D24" s="23" t="s">
        <v>152</v>
      </c>
      <c r="E24" s="24" t="n">
        <v>1491</v>
      </c>
      <c r="F24" s="24" t="n">
        <v>1991</v>
      </c>
      <c r="G24" s="24" t="n">
        <v>2086</v>
      </c>
      <c r="H24" s="25" t="n">
        <v>0.9849</v>
      </c>
      <c r="I24" s="26" t="n">
        <f aca="false">G24/$G$5-1</f>
        <v>0.132464712269273</v>
      </c>
      <c r="J24" s="27" t="n">
        <f aca="false">E24/G24</f>
        <v>0.714765100671141</v>
      </c>
      <c r="K24" s="22" t="n">
        <f aca="false">RANK(G24,$G$5:$G$28)</f>
        <v>16</v>
      </c>
      <c r="L24" s="22" t="n">
        <f aca="false">RANK(H24,$H$5:$H$28)</f>
        <v>11</v>
      </c>
    </row>
    <row r="25" customFormat="false" ht="15" hidden="false" customHeight="false" outlineLevel="0" collapsed="false">
      <c r="A25" s="17" t="s">
        <v>103</v>
      </c>
      <c r="B25" s="17" t="s">
        <v>153</v>
      </c>
      <c r="C25" s="17" t="s">
        <v>103</v>
      </c>
      <c r="D25" s="17" t="s">
        <v>154</v>
      </c>
      <c r="E25" s="18" t="n">
        <v>1381</v>
      </c>
      <c r="F25" s="18" t="n">
        <v>2071</v>
      </c>
      <c r="G25" s="18" t="n">
        <v>2241</v>
      </c>
      <c r="H25" s="19" t="n">
        <v>0.97878</v>
      </c>
      <c r="I25" s="20" t="n">
        <f aca="false">G25/$G$5-1</f>
        <v>0.216612377850163</v>
      </c>
      <c r="J25" s="21" t="n">
        <f aca="false">E25/G25</f>
        <v>0.616242748772869</v>
      </c>
      <c r="K25" s="17" t="n">
        <f aca="false">RANK(G25,$G$5:$G$28)</f>
        <v>12</v>
      </c>
      <c r="L25" s="17" t="n">
        <f aca="false">RANK(H25,$H$5:$H$28)</f>
        <v>15</v>
      </c>
    </row>
    <row r="26" customFormat="false" ht="15" hidden="false" customHeight="false" outlineLevel="0" collapsed="false">
      <c r="A26" s="22" t="s">
        <v>103</v>
      </c>
      <c r="B26" s="22" t="s">
        <v>155</v>
      </c>
      <c r="C26" s="22" t="s">
        <v>103</v>
      </c>
      <c r="D26" s="23" t="s">
        <v>156</v>
      </c>
      <c r="E26" s="24" t="n">
        <v>1730</v>
      </c>
      <c r="F26" s="24" t="n">
        <v>2091</v>
      </c>
      <c r="G26" s="24" t="n">
        <v>3203</v>
      </c>
      <c r="H26" s="25" t="n">
        <v>0.973087</v>
      </c>
      <c r="I26" s="26" t="n">
        <f aca="false">G26/$G$5-1</f>
        <v>0.738870792616721</v>
      </c>
      <c r="J26" s="27" t="n">
        <f aca="false">E26/G26</f>
        <v>0.540118638776147</v>
      </c>
      <c r="K26" s="22" t="n">
        <f aca="false">RANK(G26,$G$5:$G$28)</f>
        <v>3</v>
      </c>
      <c r="L26" s="22" t="n">
        <f aca="false">RANK(H26,$H$5:$H$28)</f>
        <v>20</v>
      </c>
    </row>
    <row r="27" customFormat="false" ht="15" hidden="false" customHeight="false" outlineLevel="0" collapsed="false">
      <c r="A27" s="29" t="s">
        <v>103</v>
      </c>
      <c r="B27" s="29" t="s">
        <v>157</v>
      </c>
      <c r="C27" s="29" t="s">
        <v>103</v>
      </c>
      <c r="D27" s="30" t="s">
        <v>158</v>
      </c>
      <c r="E27" s="31" t="n">
        <v>2621</v>
      </c>
      <c r="F27" s="31" t="n">
        <v>2711</v>
      </c>
      <c r="G27" s="31" t="n">
        <v>2761</v>
      </c>
      <c r="H27" s="32" t="n">
        <v>0.992224</v>
      </c>
      <c r="I27" s="33" t="n">
        <f aca="false">G27/$G$5-1</f>
        <v>0.498914223669924</v>
      </c>
      <c r="J27" s="34" t="n">
        <f aca="false">E27/G27</f>
        <v>0.949293734154292</v>
      </c>
      <c r="K27" s="29" t="n">
        <f aca="false">RANK(G27,$G$5:$G$28)</f>
        <v>4</v>
      </c>
      <c r="L27" s="29" t="n">
        <f aca="false">RANK(H27,$H$5:$H$28)</f>
        <v>9</v>
      </c>
    </row>
    <row r="28" customFormat="false" ht="15" hidden="false" customHeight="false" outlineLevel="0" collapsed="false">
      <c r="A28" s="29" t="s">
        <v>103</v>
      </c>
      <c r="B28" s="29" t="s">
        <v>106</v>
      </c>
      <c r="C28" s="29" t="s">
        <v>103</v>
      </c>
      <c r="D28" s="30" t="s">
        <v>159</v>
      </c>
      <c r="E28" s="31" t="n">
        <v>2621</v>
      </c>
      <c r="F28" s="31" t="n">
        <v>2711</v>
      </c>
      <c r="G28" s="31" t="n">
        <v>2756</v>
      </c>
      <c r="H28" s="32" t="n">
        <v>0.992668</v>
      </c>
      <c r="I28" s="33" t="n">
        <f aca="false">G28/$G$5-1</f>
        <v>0.496199782844734</v>
      </c>
      <c r="J28" s="34" t="n">
        <f aca="false">E28/G28</f>
        <v>0.951015965166909</v>
      </c>
      <c r="K28" s="29" t="n">
        <f aca="false">RANK(G28,$G$5:$G$28)</f>
        <v>5</v>
      </c>
      <c r="L28" s="29" t="n">
        <f aca="false">RANK(H28,$H$5:$H$28)</f>
        <v>8</v>
      </c>
    </row>
    <row r="30" customFormat="false" ht="15" hidden="false" customHeight="false" outlineLevel="0" collapsed="false">
      <c r="A30" s="35" t="s">
        <v>160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0" width="12"/>
    <col collapsed="false" customWidth="true" hidden="false" outlineLevel="0" max="7" min="2" style="0" width="11"/>
    <col collapsed="false" customWidth="true" hidden="false" outlineLevel="0" max="11" min="8" style="0" width="10"/>
    <col collapsed="false" customWidth="true" hidden="false" outlineLevel="0" max="13" min="12" style="0" width="14"/>
    <col collapsed="false" customWidth="true" hidden="false" outlineLevel="0" max="14" min="14" style="0" width="40"/>
    <col collapsed="false" customWidth="true" hidden="false" outlineLevel="0" max="15" min="15" style="0" width="44"/>
  </cols>
  <sheetData>
    <row r="1" customFormat="false" ht="19.7" hidden="false" customHeight="false" outlineLevel="0" collapsed="false">
      <c r="A1" s="1" t="s">
        <v>161</v>
      </c>
    </row>
    <row r="2" customFormat="false" ht="15" hidden="false" customHeight="false" outlineLevel="0" collapsed="false">
      <c r="A2" s="2" t="s">
        <v>162</v>
      </c>
    </row>
    <row r="4" customFormat="false" ht="31.5" hidden="false" customHeight="true" outlineLevel="0" collapsed="false">
      <c r="A4" s="6" t="s">
        <v>90</v>
      </c>
      <c r="B4" s="6" t="s">
        <v>163</v>
      </c>
      <c r="C4" s="6" t="s">
        <v>164</v>
      </c>
      <c r="D4" s="6" t="s">
        <v>165</v>
      </c>
      <c r="E4" s="6" t="s">
        <v>166</v>
      </c>
      <c r="F4" s="6" t="s">
        <v>167</v>
      </c>
      <c r="G4" s="6" t="s">
        <v>168</v>
      </c>
      <c r="H4" s="6" t="s">
        <v>169</v>
      </c>
      <c r="I4" s="6" t="s">
        <v>170</v>
      </c>
      <c r="J4" s="6" t="s">
        <v>171</v>
      </c>
      <c r="K4" s="6" t="s">
        <v>172</v>
      </c>
      <c r="L4" s="7" t="s">
        <v>173</v>
      </c>
      <c r="M4" s="7" t="s">
        <v>174</v>
      </c>
      <c r="N4" s="6" t="s">
        <v>175</v>
      </c>
      <c r="O4" s="6" t="s">
        <v>176</v>
      </c>
    </row>
    <row r="5" customFormat="false" ht="23.85" hidden="false" customHeight="false" outlineLevel="0" collapsed="false">
      <c r="A5" s="17" t="s">
        <v>95</v>
      </c>
      <c r="B5" s="18" t="n">
        <v>932</v>
      </c>
      <c r="C5" s="18" t="n">
        <v>1312</v>
      </c>
      <c r="D5" s="18" t="n">
        <v>1035</v>
      </c>
      <c r="E5" s="18" t="n">
        <v>1152</v>
      </c>
      <c r="F5" s="18" t="n">
        <v>1327</v>
      </c>
      <c r="G5" s="19" t="n">
        <v>0.9862</v>
      </c>
      <c r="H5" s="18" t="n">
        <v>1383</v>
      </c>
      <c r="I5" s="18" t="n">
        <v>1586</v>
      </c>
      <c r="J5" s="18" t="n">
        <v>1842</v>
      </c>
      <c r="K5" s="19" t="n">
        <v>0.994</v>
      </c>
      <c r="L5" s="36" t="n">
        <f aca="false">IF(ISNUMBER(C5),F5/C5-1,"n/a")</f>
        <v>0.0114329268292683</v>
      </c>
      <c r="M5" s="20" t="n">
        <f aca="false">J5/F5-1</f>
        <v>0.388093443858327</v>
      </c>
      <c r="N5" s="28" t="s">
        <v>177</v>
      </c>
      <c r="O5" s="28" t="s">
        <v>178</v>
      </c>
    </row>
    <row r="6" customFormat="false" ht="23.85" hidden="false" customHeight="false" outlineLevel="0" collapsed="false">
      <c r="A6" s="22" t="s">
        <v>97</v>
      </c>
      <c r="B6" s="24" t="s">
        <v>179</v>
      </c>
      <c r="C6" s="24" t="s">
        <v>180</v>
      </c>
      <c r="D6" s="24" t="n">
        <v>734</v>
      </c>
      <c r="E6" s="24" t="n">
        <v>1384</v>
      </c>
      <c r="F6" s="24" t="n">
        <v>2259</v>
      </c>
      <c r="G6" s="25" t="n">
        <v>0.998</v>
      </c>
      <c r="H6" s="24" t="n">
        <v>634</v>
      </c>
      <c r="I6" s="24" t="n">
        <v>1216</v>
      </c>
      <c r="J6" s="24" t="n">
        <v>1883</v>
      </c>
      <c r="K6" s="25" t="n">
        <v>0.9968</v>
      </c>
      <c r="L6" s="37" t="str">
        <f aca="false">IF(ISNUMBER(C6),F6/C6-1,"n/a")</f>
        <v>n/a</v>
      </c>
      <c r="M6" s="26" t="n">
        <f aca="false">J6/F6-1</f>
        <v>-0.166445329791943</v>
      </c>
      <c r="N6" s="23" t="s">
        <v>181</v>
      </c>
      <c r="O6" s="23" t="s">
        <v>182</v>
      </c>
    </row>
    <row r="7" customFormat="false" ht="15" hidden="false" customHeight="false" outlineLevel="0" collapsed="false">
      <c r="A7" s="17" t="s">
        <v>98</v>
      </c>
      <c r="B7" s="18" t="n">
        <v>1578</v>
      </c>
      <c r="C7" s="18" t="n">
        <v>2192</v>
      </c>
      <c r="D7" s="18" t="n">
        <v>1616</v>
      </c>
      <c r="E7" s="18" t="n">
        <v>2017</v>
      </c>
      <c r="F7" s="18" t="n">
        <v>2186</v>
      </c>
      <c r="G7" s="19" t="n">
        <v>0.9886</v>
      </c>
      <c r="H7" s="18" t="n">
        <v>1324</v>
      </c>
      <c r="I7" s="18" t="n">
        <v>2352</v>
      </c>
      <c r="J7" s="18" t="n">
        <v>3504</v>
      </c>
      <c r="K7" s="19" t="n">
        <v>0.9942</v>
      </c>
      <c r="L7" s="36" t="n">
        <f aca="false">IF(ISNUMBER(C7),F7/C7-1,"n/a")</f>
        <v>-0.00273722627737227</v>
      </c>
      <c r="M7" s="20" t="n">
        <f aca="false">J7/F7-1</f>
        <v>0.602927721866423</v>
      </c>
      <c r="N7" s="28" t="s">
        <v>183</v>
      </c>
      <c r="O7" s="28" t="s">
        <v>184</v>
      </c>
    </row>
    <row r="8" customFormat="false" ht="15" hidden="false" customHeight="false" outlineLevel="0" collapsed="false">
      <c r="A8" s="22" t="s">
        <v>99</v>
      </c>
      <c r="B8" s="24" t="s">
        <v>179</v>
      </c>
      <c r="C8" s="24" t="s">
        <v>180</v>
      </c>
      <c r="D8" s="24" t="n">
        <v>493</v>
      </c>
      <c r="E8" s="24" t="n">
        <v>747</v>
      </c>
      <c r="F8" s="24" t="n">
        <v>884</v>
      </c>
      <c r="G8" s="25" t="n">
        <v>0.9953</v>
      </c>
      <c r="H8" s="24" t="n">
        <v>1440</v>
      </c>
      <c r="I8" s="24" t="n">
        <v>1584</v>
      </c>
      <c r="J8" s="24" t="n">
        <v>1604</v>
      </c>
      <c r="K8" s="25" t="n">
        <v>0.9917</v>
      </c>
      <c r="L8" s="37" t="str">
        <f aca="false">IF(ISNUMBER(C8),F8/C8-1,"n/a")</f>
        <v>n/a</v>
      </c>
      <c r="M8" s="26" t="n">
        <f aca="false">J8/F8-1</f>
        <v>0.81447963800905</v>
      </c>
      <c r="N8" s="22" t="s">
        <v>185</v>
      </c>
      <c r="O8" s="23" t="s">
        <v>186</v>
      </c>
    </row>
    <row r="9" customFormat="false" ht="15" hidden="false" customHeight="false" outlineLevel="0" collapsed="false">
      <c r="A9" s="17" t="s">
        <v>101</v>
      </c>
      <c r="B9" s="18" t="s">
        <v>179</v>
      </c>
      <c r="C9" s="18" t="n">
        <v>4312</v>
      </c>
      <c r="D9" s="18" t="n">
        <v>1080</v>
      </c>
      <c r="E9" s="18" t="n">
        <v>1160</v>
      </c>
      <c r="F9" s="18" t="n">
        <v>1210</v>
      </c>
      <c r="G9" s="19" t="n">
        <v>0.9475</v>
      </c>
      <c r="H9" s="18" t="n">
        <v>2177</v>
      </c>
      <c r="I9" s="18" t="n">
        <v>2255</v>
      </c>
      <c r="J9" s="18" t="n">
        <v>2305</v>
      </c>
      <c r="K9" s="19" t="n">
        <v>0.9733</v>
      </c>
      <c r="L9" s="36" t="n">
        <f aca="false">IF(ISNUMBER(C9),F9/C9-1,"n/a")</f>
        <v>-0.719387755102041</v>
      </c>
      <c r="M9" s="20" t="n">
        <f aca="false">J9/F9-1</f>
        <v>0.90495867768595</v>
      </c>
      <c r="N9" s="28" t="s">
        <v>187</v>
      </c>
      <c r="O9" s="28" t="s">
        <v>188</v>
      </c>
    </row>
    <row r="10" customFormat="false" ht="15" hidden="false" customHeight="false" outlineLevel="0" collapsed="false">
      <c r="A10" s="22" t="s">
        <v>134</v>
      </c>
      <c r="B10" s="24" t="n">
        <v>1250</v>
      </c>
      <c r="C10" s="24" t="n">
        <v>2200</v>
      </c>
      <c r="D10" s="24" t="n">
        <v>792</v>
      </c>
      <c r="E10" s="24" t="n">
        <v>1079</v>
      </c>
      <c r="F10" s="24" t="n">
        <v>1129</v>
      </c>
      <c r="G10" s="25" t="n">
        <v>0.9043</v>
      </c>
      <c r="H10" s="24" t="n">
        <v>1653</v>
      </c>
      <c r="I10" s="24" t="n">
        <v>2134</v>
      </c>
      <c r="J10" s="24" t="n">
        <v>2184</v>
      </c>
      <c r="K10" s="25" t="n">
        <v>0.9168</v>
      </c>
      <c r="L10" s="37" t="n">
        <f aca="false">IF(ISNUMBER(C10),F10/C10-1,"n/a")</f>
        <v>-0.486818181818182</v>
      </c>
      <c r="M10" s="26" t="n">
        <f aca="false">J10/F10-1</f>
        <v>0.934455270150576</v>
      </c>
      <c r="N10" s="22" t="s">
        <v>189</v>
      </c>
      <c r="O10" s="23" t="s">
        <v>190</v>
      </c>
    </row>
    <row r="12" customFormat="false" ht="15" hidden="false" customHeight="false" outlineLevel="0" collapsed="false">
      <c r="A12" s="35" t="s">
        <v>191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0" width="22"/>
    <col collapsed="false" customWidth="true" hidden="false" outlineLevel="0" max="2" min="2" style="0" width="8"/>
    <col collapsed="false" customWidth="true" hidden="false" outlineLevel="0" max="3" min="3" style="0" width="9"/>
    <col collapsed="false" customWidth="true" hidden="false" outlineLevel="0" max="4" min="4" style="0" width="54"/>
    <col collapsed="false" customWidth="true" hidden="false" outlineLevel="0" max="7" min="5" style="0" width="9"/>
    <col collapsed="false" customWidth="true" hidden="false" outlineLevel="0" max="8" min="8" style="0" width="10"/>
    <col collapsed="false" customWidth="true" hidden="false" outlineLevel="0" max="12" min="9" style="0" width="11"/>
  </cols>
  <sheetData>
    <row r="1" customFormat="false" ht="19.7" hidden="false" customHeight="false" outlineLevel="0" collapsed="false">
      <c r="A1" s="1" t="s">
        <v>192</v>
      </c>
    </row>
    <row r="2" customFormat="false" ht="15" hidden="false" customHeight="false" outlineLevel="0" collapsed="false">
      <c r="A2" s="2" t="s">
        <v>193</v>
      </c>
    </row>
    <row r="4" customFormat="false" ht="31.5" hidden="false" customHeight="true" outlineLevel="0" collapsed="false">
      <c r="A4" s="6" t="s">
        <v>194</v>
      </c>
      <c r="B4" s="6" t="s">
        <v>195</v>
      </c>
      <c r="C4" s="6" t="s">
        <v>196</v>
      </c>
      <c r="D4" s="6" t="s">
        <v>197</v>
      </c>
      <c r="E4" s="6" t="s">
        <v>92</v>
      </c>
      <c r="F4" s="6" t="s">
        <v>93</v>
      </c>
      <c r="G4" s="6" t="s">
        <v>94</v>
      </c>
      <c r="H4" s="6" t="s">
        <v>24</v>
      </c>
      <c r="I4" s="7" t="s">
        <v>198</v>
      </c>
      <c r="J4" s="7" t="s">
        <v>199</v>
      </c>
      <c r="K4" s="7" t="s">
        <v>200</v>
      </c>
      <c r="L4" s="7" t="s">
        <v>201</v>
      </c>
    </row>
    <row r="5" customFormat="false" ht="15" hidden="false" customHeight="false" outlineLevel="0" collapsed="false">
      <c r="A5" s="17" t="s">
        <v>137</v>
      </c>
      <c r="B5" s="17" t="s">
        <v>202</v>
      </c>
      <c r="C5" s="17" t="n">
        <v>5</v>
      </c>
      <c r="D5" s="28" t="s">
        <v>138</v>
      </c>
      <c r="E5" s="18" t="n">
        <v>330</v>
      </c>
      <c r="F5" s="18" t="n">
        <v>557</v>
      </c>
      <c r="G5" s="18" t="n">
        <v>1318</v>
      </c>
      <c r="H5" s="19" t="n">
        <v>0.9974</v>
      </c>
      <c r="I5" s="20" t="s">
        <v>203</v>
      </c>
      <c r="J5" s="20" t="s">
        <v>203</v>
      </c>
      <c r="K5" s="38" t="s">
        <v>203</v>
      </c>
      <c r="L5" s="20" t="n">
        <f aca="false">G5/$G$5-1</f>
        <v>0</v>
      </c>
    </row>
    <row r="6" customFormat="false" ht="15" hidden="false" customHeight="false" outlineLevel="0" collapsed="false">
      <c r="A6" s="22" t="s">
        <v>139</v>
      </c>
      <c r="B6" s="22" t="s">
        <v>202</v>
      </c>
      <c r="C6" s="22" t="n">
        <v>5</v>
      </c>
      <c r="D6" s="22" t="s">
        <v>126</v>
      </c>
      <c r="E6" s="24" t="n">
        <v>345</v>
      </c>
      <c r="F6" s="24" t="n">
        <v>534</v>
      </c>
      <c r="G6" s="24" t="n">
        <v>1393</v>
      </c>
      <c r="H6" s="25" t="n">
        <v>0.9979</v>
      </c>
      <c r="I6" s="26" t="n">
        <f aca="false">E6/E5-1</f>
        <v>0.0454545454545454</v>
      </c>
      <c r="J6" s="26" t="n">
        <f aca="false">G6/G5-1</f>
        <v>0.0569044006069803</v>
      </c>
      <c r="K6" s="39" t="n">
        <f aca="false">(H6-H5)*100</f>
        <v>0.0500000000000056</v>
      </c>
      <c r="L6" s="26" t="n">
        <f aca="false">G6/$G$5-1</f>
        <v>0.0569044006069803</v>
      </c>
    </row>
    <row r="7" customFormat="false" ht="15" hidden="false" customHeight="false" outlineLevel="0" collapsed="false">
      <c r="A7" s="17" t="s">
        <v>102</v>
      </c>
      <c r="B7" s="17" t="s">
        <v>202</v>
      </c>
      <c r="C7" s="17" t="n">
        <v>5</v>
      </c>
      <c r="D7" s="28" t="s">
        <v>140</v>
      </c>
      <c r="E7" s="18" t="n">
        <v>1730</v>
      </c>
      <c r="F7" s="18" t="n">
        <v>2081</v>
      </c>
      <c r="G7" s="18" t="n">
        <v>2703</v>
      </c>
      <c r="H7" s="19" t="n">
        <v>0.9772</v>
      </c>
      <c r="I7" s="20" t="n">
        <f aca="false">E7/E6-1</f>
        <v>4.01449275362319</v>
      </c>
      <c r="J7" s="20" t="n">
        <f aca="false">G7/G6-1</f>
        <v>0.940416367552046</v>
      </c>
      <c r="K7" s="38" t="n">
        <f aca="false">(H7-H6)*100</f>
        <v>-2.07000000000001</v>
      </c>
      <c r="L7" s="20" t="n">
        <f aca="false">G7/$G$5-1</f>
        <v>1.05083459787557</v>
      </c>
    </row>
    <row r="8" customFormat="false" ht="15" hidden="false" customHeight="false" outlineLevel="0" collapsed="false">
      <c r="A8" s="22" t="s">
        <v>141</v>
      </c>
      <c r="B8" s="22" t="s">
        <v>202</v>
      </c>
      <c r="C8" s="22" t="n">
        <v>15</v>
      </c>
      <c r="D8" s="22" t="s">
        <v>142</v>
      </c>
      <c r="E8" s="24" t="n">
        <v>1513</v>
      </c>
      <c r="F8" s="24" t="n">
        <v>2219</v>
      </c>
      <c r="G8" s="24" t="n">
        <v>2521</v>
      </c>
      <c r="H8" s="25" t="n">
        <v>0.9467</v>
      </c>
      <c r="I8" s="26" t="n">
        <f aca="false">E8/E7-1</f>
        <v>-0.125433526011561</v>
      </c>
      <c r="J8" s="26" t="n">
        <f aca="false">G8/G7-1</f>
        <v>-0.0673325934147244</v>
      </c>
      <c r="K8" s="39" t="n">
        <f aca="false">(H8-H7)*100</f>
        <v>-3.05</v>
      </c>
      <c r="L8" s="26" t="n">
        <f aca="false">G8/$G$5-1</f>
        <v>0.912746585735964</v>
      </c>
    </row>
    <row r="9" customFormat="false" ht="15" hidden="false" customHeight="false" outlineLevel="0" collapsed="false">
      <c r="A9" s="17" t="s">
        <v>143</v>
      </c>
      <c r="B9" s="17" t="s">
        <v>202</v>
      </c>
      <c r="C9" s="17" t="n">
        <v>15</v>
      </c>
      <c r="D9" s="17" t="s">
        <v>144</v>
      </c>
      <c r="E9" s="18" t="n">
        <v>1513</v>
      </c>
      <c r="F9" s="18" t="n">
        <v>2127</v>
      </c>
      <c r="G9" s="18" t="n">
        <v>2416</v>
      </c>
      <c r="H9" s="19" t="n">
        <v>0.9705</v>
      </c>
      <c r="I9" s="20" t="n">
        <f aca="false">E9/E8-1</f>
        <v>0</v>
      </c>
      <c r="J9" s="20" t="n">
        <f aca="false">G9/G8-1</f>
        <v>-0.0416501388337961</v>
      </c>
      <c r="K9" s="38" t="n">
        <f aca="false">(H9-H8)*100</f>
        <v>2.38</v>
      </c>
      <c r="L9" s="20" t="n">
        <f aca="false">G9/$G$5-1</f>
        <v>0.833080424886191</v>
      </c>
    </row>
    <row r="10" customFormat="false" ht="15" hidden="false" customHeight="false" outlineLevel="0" collapsed="false">
      <c r="A10" s="22" t="s">
        <v>145</v>
      </c>
      <c r="B10" s="22" t="s">
        <v>202</v>
      </c>
      <c r="C10" s="22" t="n">
        <v>5</v>
      </c>
      <c r="D10" s="23" t="s">
        <v>146</v>
      </c>
      <c r="E10" s="24" t="n">
        <v>1730</v>
      </c>
      <c r="F10" s="24" t="n">
        <v>2086</v>
      </c>
      <c r="G10" s="24" t="n">
        <v>2156</v>
      </c>
      <c r="H10" s="25" t="n">
        <v>0.9827</v>
      </c>
      <c r="I10" s="26" t="n">
        <f aca="false">E10/E9-1</f>
        <v>0.143423661599471</v>
      </c>
      <c r="J10" s="26" t="n">
        <f aca="false">G10/G9-1</f>
        <v>-0.107615894039735</v>
      </c>
      <c r="K10" s="39" t="n">
        <f aca="false">(H10-H9)*100</f>
        <v>1.22</v>
      </c>
      <c r="L10" s="26" t="n">
        <f aca="false">G10/$G$5-1</f>
        <v>0.635811836115326</v>
      </c>
    </row>
    <row r="11" customFormat="false" ht="15" hidden="false" customHeight="false" outlineLevel="0" collapsed="false">
      <c r="A11" s="17" t="s">
        <v>147</v>
      </c>
      <c r="B11" s="17" t="s">
        <v>202</v>
      </c>
      <c r="C11" s="17" t="n">
        <v>10</v>
      </c>
      <c r="D11" s="28" t="s">
        <v>148</v>
      </c>
      <c r="E11" s="18" t="n">
        <v>1621</v>
      </c>
      <c r="F11" s="18" t="n">
        <v>2141</v>
      </c>
      <c r="G11" s="18" t="n">
        <v>2291</v>
      </c>
      <c r="H11" s="19" t="n">
        <v>0.9794</v>
      </c>
      <c r="I11" s="20" t="n">
        <f aca="false">E11/E10-1</f>
        <v>-0.0630057803468208</v>
      </c>
      <c r="J11" s="20" t="n">
        <f aca="false">G11/G10-1</f>
        <v>0.0626159554730983</v>
      </c>
      <c r="K11" s="38" t="n">
        <f aca="false">(H11-H10)*100</f>
        <v>-0.329999999999997</v>
      </c>
      <c r="L11" s="20" t="n">
        <f aca="false">G11/$G$5-1</f>
        <v>0.738239757207891</v>
      </c>
    </row>
    <row r="12" customFormat="false" ht="15" hidden="false" customHeight="false" outlineLevel="0" collapsed="false">
      <c r="A12" s="22" t="s">
        <v>149</v>
      </c>
      <c r="B12" s="22" t="s">
        <v>202</v>
      </c>
      <c r="C12" s="22" t="n">
        <v>5</v>
      </c>
      <c r="D12" s="22" t="s">
        <v>150</v>
      </c>
      <c r="E12" s="24" t="n">
        <v>1551</v>
      </c>
      <c r="F12" s="24" t="n">
        <v>1981</v>
      </c>
      <c r="G12" s="24" t="n">
        <v>2106</v>
      </c>
      <c r="H12" s="25" t="n">
        <v>0.97494</v>
      </c>
      <c r="I12" s="26" t="n">
        <f aca="false">E12/E11-1</f>
        <v>-0.0431832202344232</v>
      </c>
      <c r="J12" s="26" t="n">
        <f aca="false">G12/G11-1</f>
        <v>-0.0807507638585771</v>
      </c>
      <c r="K12" s="39" t="n">
        <f aca="false">(H12-H11)*100</f>
        <v>-0.446000000000002</v>
      </c>
      <c r="L12" s="26" t="n">
        <f aca="false">G12/$G$5-1</f>
        <v>0.597875569044006</v>
      </c>
    </row>
    <row r="13" customFormat="false" ht="15" hidden="false" customHeight="false" outlineLevel="0" collapsed="false">
      <c r="A13" s="17" t="s">
        <v>104</v>
      </c>
      <c r="B13" s="17" t="s">
        <v>202</v>
      </c>
      <c r="C13" s="17" t="n">
        <v>5</v>
      </c>
      <c r="D13" s="28" t="s">
        <v>151</v>
      </c>
      <c r="E13" s="18" t="n">
        <v>1551</v>
      </c>
      <c r="F13" s="18" t="n">
        <v>1976</v>
      </c>
      <c r="G13" s="18" t="n">
        <v>2066</v>
      </c>
      <c r="H13" s="19" t="n">
        <v>0.98432</v>
      </c>
      <c r="I13" s="20" t="n">
        <f aca="false">E13/E12-1</f>
        <v>0</v>
      </c>
      <c r="J13" s="20" t="n">
        <f aca="false">G13/G12-1</f>
        <v>-0.0189933523266856</v>
      </c>
      <c r="K13" s="38" t="n">
        <f aca="false">(H13-H12)*100</f>
        <v>0.937999999999994</v>
      </c>
      <c r="L13" s="20" t="n">
        <f aca="false">G13/$G$5-1</f>
        <v>0.56752655538695</v>
      </c>
    </row>
    <row r="14" customFormat="false" ht="15" hidden="false" customHeight="false" outlineLevel="0" collapsed="false">
      <c r="A14" s="22" t="s">
        <v>204</v>
      </c>
      <c r="B14" s="22" t="s">
        <v>205</v>
      </c>
      <c r="C14" s="22" t="n">
        <v>5</v>
      </c>
      <c r="D14" s="22" t="s">
        <v>150</v>
      </c>
      <c r="E14" s="24" t="n">
        <v>1266</v>
      </c>
      <c r="F14" s="24" t="n">
        <v>1910</v>
      </c>
      <c r="G14" s="24" t="n">
        <v>2031</v>
      </c>
      <c r="H14" s="25" t="n">
        <v>0.97075</v>
      </c>
      <c r="I14" s="26" t="n">
        <f aca="false">E14/E13-1</f>
        <v>-0.183752417794971</v>
      </c>
      <c r="J14" s="26" t="n">
        <f aca="false">G14/G13-1</f>
        <v>-0.0169409486931268</v>
      </c>
      <c r="K14" s="39" t="n">
        <f aca="false">(H14-H13)*100</f>
        <v>-1.357</v>
      </c>
      <c r="L14" s="26" t="n">
        <f aca="false">G14/$G$5-1</f>
        <v>0.540971168437026</v>
      </c>
    </row>
    <row r="15" customFormat="false" ht="15" hidden="false" customHeight="false" outlineLevel="0" collapsed="false">
      <c r="A15" s="17" t="s">
        <v>206</v>
      </c>
      <c r="B15" s="17" t="s">
        <v>205</v>
      </c>
      <c r="C15" s="17" t="n">
        <v>5</v>
      </c>
      <c r="D15" s="28" t="s">
        <v>151</v>
      </c>
      <c r="E15" s="18" t="n">
        <v>1266</v>
      </c>
      <c r="F15" s="18" t="n">
        <v>1891</v>
      </c>
      <c r="G15" s="18" t="n">
        <v>1976</v>
      </c>
      <c r="H15" s="19" t="n">
        <v>0.98135</v>
      </c>
      <c r="I15" s="20" t="n">
        <f aca="false">E15/E14-1</f>
        <v>0</v>
      </c>
      <c r="J15" s="20" t="n">
        <f aca="false">G15/G14-1</f>
        <v>-0.0270802560315115</v>
      </c>
      <c r="K15" s="38" t="n">
        <f aca="false">(H15-H14)*100</f>
        <v>1.05999999999999</v>
      </c>
      <c r="L15" s="20" t="n">
        <f aca="false">G15/$G$5-1</f>
        <v>0.499241274658574</v>
      </c>
    </row>
    <row r="16" customFormat="false" ht="15" hidden="false" customHeight="false" outlineLevel="0" collapsed="false">
      <c r="A16" s="22" t="s">
        <v>105</v>
      </c>
      <c r="B16" s="22" t="s">
        <v>202</v>
      </c>
      <c r="C16" s="22" t="n">
        <v>5</v>
      </c>
      <c r="D16" s="23" t="s">
        <v>152</v>
      </c>
      <c r="E16" s="24" t="n">
        <v>1491</v>
      </c>
      <c r="F16" s="24" t="n">
        <v>1991</v>
      </c>
      <c r="G16" s="24" t="n">
        <v>2086</v>
      </c>
      <c r="H16" s="25" t="n">
        <v>0.9849</v>
      </c>
      <c r="I16" s="26" t="n">
        <f aca="false">E16/E15-1</f>
        <v>0.177725118483412</v>
      </c>
      <c r="J16" s="26" t="n">
        <f aca="false">G16/G15-1</f>
        <v>0.0556680161943319</v>
      </c>
      <c r="K16" s="39" t="n">
        <f aca="false">(H16-H15)*100</f>
        <v>0.355000000000005</v>
      </c>
      <c r="L16" s="26" t="n">
        <f aca="false">G16/$G$5-1</f>
        <v>0.582701062215478</v>
      </c>
    </row>
    <row r="17" customFormat="false" ht="15" hidden="false" customHeight="false" outlineLevel="0" collapsed="false">
      <c r="A17" s="17" t="s">
        <v>153</v>
      </c>
      <c r="B17" s="17" t="s">
        <v>202</v>
      </c>
      <c r="C17" s="17" t="n">
        <v>10</v>
      </c>
      <c r="D17" s="17" t="s">
        <v>154</v>
      </c>
      <c r="E17" s="18" t="n">
        <v>1381</v>
      </c>
      <c r="F17" s="18" t="n">
        <v>2071</v>
      </c>
      <c r="G17" s="18" t="n">
        <v>2241</v>
      </c>
      <c r="H17" s="19" t="n">
        <v>0.97878</v>
      </c>
      <c r="I17" s="20" t="n">
        <f aca="false">E17/E16-1</f>
        <v>-0.073775989268947</v>
      </c>
      <c r="J17" s="20" t="n">
        <f aca="false">G17/G16-1</f>
        <v>0.0743048897411314</v>
      </c>
      <c r="K17" s="38" t="n">
        <f aca="false">(H17-H16)*100</f>
        <v>-0.612000000000001</v>
      </c>
      <c r="L17" s="20" t="n">
        <f aca="false">G17/$G$5-1</f>
        <v>0.700303490136571</v>
      </c>
    </row>
    <row r="18" customFormat="false" ht="15" hidden="false" customHeight="false" outlineLevel="0" collapsed="false">
      <c r="A18" s="22" t="s">
        <v>155</v>
      </c>
      <c r="B18" s="22" t="s">
        <v>202</v>
      </c>
      <c r="C18" s="22" t="n">
        <v>5</v>
      </c>
      <c r="D18" s="23" t="s">
        <v>156</v>
      </c>
      <c r="E18" s="24" t="n">
        <v>1730</v>
      </c>
      <c r="F18" s="24" t="n">
        <v>2091</v>
      </c>
      <c r="G18" s="24" t="n">
        <v>3203</v>
      </c>
      <c r="H18" s="25" t="n">
        <v>0.973087</v>
      </c>
      <c r="I18" s="26" t="n">
        <f aca="false">E18/E17-1</f>
        <v>0.252715423606082</v>
      </c>
      <c r="J18" s="26" t="n">
        <f aca="false">G18/G17-1</f>
        <v>0.429272646140116</v>
      </c>
      <c r="K18" s="39" t="n">
        <f aca="false">(H18-H17)*100</f>
        <v>-0.569299999999995</v>
      </c>
      <c r="L18" s="26" t="n">
        <f aca="false">G18/$G$5-1</f>
        <v>1.43019726858877</v>
      </c>
    </row>
    <row r="19" customFormat="false" ht="15" hidden="false" customHeight="false" outlineLevel="0" collapsed="false">
      <c r="A19" s="29" t="s">
        <v>157</v>
      </c>
      <c r="B19" s="29" t="s">
        <v>202</v>
      </c>
      <c r="C19" s="29" t="n">
        <v>5</v>
      </c>
      <c r="D19" s="30" t="s">
        <v>158</v>
      </c>
      <c r="E19" s="31" t="n">
        <v>2621</v>
      </c>
      <c r="F19" s="31" t="n">
        <v>2711</v>
      </c>
      <c r="G19" s="31" t="n">
        <v>2761</v>
      </c>
      <c r="H19" s="32" t="n">
        <v>0.992224</v>
      </c>
      <c r="I19" s="33" t="n">
        <f aca="false">E19/E18-1</f>
        <v>0.515028901734104</v>
      </c>
      <c r="J19" s="33" t="n">
        <f aca="false">G19/G18-1</f>
        <v>-0.137995629097721</v>
      </c>
      <c r="K19" s="40" t="n">
        <f aca="false">(H19-H18)*100</f>
        <v>1.9137</v>
      </c>
      <c r="L19" s="33" t="n">
        <f aca="false">G19/$G$5-1</f>
        <v>1.0948406676783</v>
      </c>
    </row>
    <row r="20" customFormat="false" ht="15" hidden="false" customHeight="false" outlineLevel="0" collapsed="false">
      <c r="A20" s="29" t="s">
        <v>207</v>
      </c>
      <c r="B20" s="29" t="s">
        <v>205</v>
      </c>
      <c r="C20" s="29" t="n">
        <v>5</v>
      </c>
      <c r="D20" s="29" t="s">
        <v>208</v>
      </c>
      <c r="E20" s="31" t="n">
        <v>1471</v>
      </c>
      <c r="F20" s="31" t="n">
        <v>1646</v>
      </c>
      <c r="G20" s="31" t="n">
        <v>1716</v>
      </c>
      <c r="H20" s="32" t="n">
        <v>0.986599</v>
      </c>
      <c r="I20" s="33" t="n">
        <f aca="false">E20/E19-1</f>
        <v>-0.438763830599008</v>
      </c>
      <c r="J20" s="33" t="n">
        <f aca="false">G20/G19-1</f>
        <v>-0.378486055776892</v>
      </c>
      <c r="K20" s="40" t="n">
        <f aca="false">(H20-H19)*100</f>
        <v>-0.562499999999999</v>
      </c>
      <c r="L20" s="33" t="n">
        <f aca="false">G20/$G$5-1</f>
        <v>0.301972685887709</v>
      </c>
    </row>
    <row r="21" customFormat="false" ht="15" hidden="false" customHeight="false" outlineLevel="0" collapsed="false">
      <c r="A21" s="29" t="s">
        <v>106</v>
      </c>
      <c r="B21" s="29" t="s">
        <v>202</v>
      </c>
      <c r="C21" s="29" t="n">
        <v>5</v>
      </c>
      <c r="D21" s="30" t="s">
        <v>159</v>
      </c>
      <c r="E21" s="31" t="n">
        <v>2621</v>
      </c>
      <c r="F21" s="31" t="n">
        <v>2711</v>
      </c>
      <c r="G21" s="31" t="n">
        <v>2756</v>
      </c>
      <c r="H21" s="32" t="n">
        <v>0.992668</v>
      </c>
      <c r="I21" s="33" t="n">
        <f aca="false">E21/E20-1</f>
        <v>0.781781101291638</v>
      </c>
      <c r="J21" s="33" t="n">
        <f aca="false">G21/G20-1</f>
        <v>0.606060606060606</v>
      </c>
      <c r="K21" s="40" t="n">
        <f aca="false">(H21-H20)*100</f>
        <v>0.606899999999999</v>
      </c>
      <c r="L21" s="33" t="n">
        <f aca="false">G21/$G$5-1</f>
        <v>1.09104704097117</v>
      </c>
    </row>
    <row r="22" customFormat="false" ht="15" hidden="false" customHeight="false" outlineLevel="0" collapsed="false">
      <c r="A22" s="29" t="s">
        <v>209</v>
      </c>
      <c r="B22" s="29" t="s">
        <v>205</v>
      </c>
      <c r="C22" s="29" t="n">
        <v>5</v>
      </c>
      <c r="D22" s="30" t="s">
        <v>210</v>
      </c>
      <c r="E22" s="31" t="n">
        <v>1716</v>
      </c>
      <c r="F22" s="31" t="n">
        <v>1886</v>
      </c>
      <c r="G22" s="31" t="n">
        <v>1956</v>
      </c>
      <c r="H22" s="32" t="n">
        <v>0.990719</v>
      </c>
      <c r="I22" s="33" t="n">
        <f aca="false">E22/E21-1</f>
        <v>-0.345288057993132</v>
      </c>
      <c r="J22" s="33" t="n">
        <f aca="false">G22/G21-1</f>
        <v>-0.290275761973875</v>
      </c>
      <c r="K22" s="40" t="n">
        <f aca="false">(H22-H21)*100</f>
        <v>-0.194899999999998</v>
      </c>
      <c r="L22" s="33" t="n">
        <f aca="false">G22/$G$5-1</f>
        <v>0.484066767830045</v>
      </c>
    </row>
    <row r="24" customFormat="false" ht="15" hidden="false" customHeight="false" outlineLevel="0" collapsed="false">
      <c r="A24" s="35" t="s">
        <v>211</v>
      </c>
    </row>
    <row r="26" customFormat="false" ht="15" hidden="false" customHeight="false" outlineLevel="0" collapsed="false">
      <c r="A26" s="41" t="s">
        <v>212</v>
      </c>
    </row>
    <row r="27" customFormat="false" ht="15" hidden="false" customHeight="false" outlineLevel="0" collapsed="false">
      <c r="A27" s="42" t="s">
        <v>194</v>
      </c>
      <c r="B27" s="42" t="s">
        <v>92</v>
      </c>
      <c r="C27" s="42" t="s">
        <v>93</v>
      </c>
      <c r="D27" s="42" t="s">
        <v>94</v>
      </c>
      <c r="E27" s="42" t="s">
        <v>24</v>
      </c>
    </row>
    <row r="28" customFormat="false" ht="15" hidden="false" customHeight="false" outlineLevel="0" collapsed="false">
      <c r="A28" s="43" t="str">
        <f aca="false">A5</f>
        <v>v1</v>
      </c>
      <c r="B28" s="44" t="n">
        <f aca="false">E5</f>
        <v>330</v>
      </c>
      <c r="C28" s="44" t="n">
        <f aca="false">F5</f>
        <v>557</v>
      </c>
      <c r="D28" s="44" t="n">
        <f aca="false">G5</f>
        <v>1318</v>
      </c>
      <c r="E28" s="45" t="n">
        <f aca="false">H5</f>
        <v>0.9974</v>
      </c>
    </row>
    <row r="29" customFormat="false" ht="15" hidden="false" customHeight="false" outlineLevel="0" collapsed="false">
      <c r="A29" s="43" t="str">
        <f aca="false">A6</f>
        <v>v2</v>
      </c>
      <c r="B29" s="44" t="n">
        <f aca="false">E6</f>
        <v>345</v>
      </c>
      <c r="C29" s="44" t="n">
        <f aca="false">F6</f>
        <v>534</v>
      </c>
      <c r="D29" s="44" t="n">
        <f aca="false">G6</f>
        <v>1393</v>
      </c>
      <c r="E29" s="45" t="n">
        <f aca="false">H6</f>
        <v>0.9979</v>
      </c>
    </row>
    <row r="30" customFormat="false" ht="15" hidden="false" customHeight="false" outlineLevel="0" collapsed="false">
      <c r="A30" s="43" t="str">
        <f aca="false">A7</f>
        <v>v3</v>
      </c>
      <c r="B30" s="44" t="n">
        <f aca="false">E7</f>
        <v>1730</v>
      </c>
      <c r="C30" s="44" t="n">
        <f aca="false">F7</f>
        <v>2081</v>
      </c>
      <c r="D30" s="44" t="n">
        <f aca="false">G7</f>
        <v>2703</v>
      </c>
      <c r="E30" s="45" t="n">
        <f aca="false">H7</f>
        <v>0.9772</v>
      </c>
    </row>
    <row r="31" customFormat="false" ht="15" hidden="false" customHeight="false" outlineLevel="0" collapsed="false">
      <c r="A31" s="43" t="str">
        <f aca="false">A8</f>
        <v>v4</v>
      </c>
      <c r="B31" s="44" t="n">
        <f aca="false">E8</f>
        <v>1513</v>
      </c>
      <c r="C31" s="44" t="n">
        <f aca="false">F8</f>
        <v>2219</v>
      </c>
      <c r="D31" s="44" t="n">
        <f aca="false">G8</f>
        <v>2521</v>
      </c>
      <c r="E31" s="45" t="n">
        <f aca="false">H8</f>
        <v>0.9467</v>
      </c>
    </row>
    <row r="32" customFormat="false" ht="15" hidden="false" customHeight="false" outlineLevel="0" collapsed="false">
      <c r="A32" s="43" t="str">
        <f aca="false">A9</f>
        <v>v5</v>
      </c>
      <c r="B32" s="44" t="n">
        <f aca="false">E9</f>
        <v>1513</v>
      </c>
      <c r="C32" s="44" t="n">
        <f aca="false">F9</f>
        <v>2127</v>
      </c>
      <c r="D32" s="44" t="n">
        <f aca="false">G9</f>
        <v>2416</v>
      </c>
      <c r="E32" s="45" t="n">
        <f aca="false">H9</f>
        <v>0.9705</v>
      </c>
    </row>
    <row r="33" customFormat="false" ht="15" hidden="false" customHeight="false" outlineLevel="0" collapsed="false">
      <c r="A33" s="43" t="str">
        <f aca="false">A10</f>
        <v>v5-exp (Int 5)</v>
      </c>
      <c r="B33" s="44" t="n">
        <f aca="false">E10</f>
        <v>1730</v>
      </c>
      <c r="C33" s="44" t="n">
        <f aca="false">F10</f>
        <v>2086</v>
      </c>
      <c r="D33" s="44" t="n">
        <f aca="false">G10</f>
        <v>2156</v>
      </c>
      <c r="E33" s="45" t="n">
        <f aca="false">H10</f>
        <v>0.9827</v>
      </c>
    </row>
    <row r="34" customFormat="false" ht="15" hidden="false" customHeight="false" outlineLevel="0" collapsed="false">
      <c r="A34" s="43" t="str">
        <f aca="false">A11</f>
        <v>v5-exp (Int 10)</v>
      </c>
      <c r="B34" s="44" t="n">
        <f aca="false">E11</f>
        <v>1621</v>
      </c>
      <c r="C34" s="44" t="n">
        <f aca="false">F11</f>
        <v>2141</v>
      </c>
      <c r="D34" s="44" t="n">
        <f aca="false">G11</f>
        <v>2291</v>
      </c>
      <c r="E34" s="45" t="n">
        <f aca="false">H11</f>
        <v>0.9794</v>
      </c>
    </row>
    <row r="35" customFormat="false" ht="15" hidden="false" customHeight="false" outlineLevel="0" collapsed="false">
      <c r="A35" s="43" t="str">
        <f aca="false">A12</f>
        <v>v6 (Center)</v>
      </c>
      <c r="B35" s="44" t="n">
        <f aca="false">E12</f>
        <v>1551</v>
      </c>
      <c r="C35" s="44" t="n">
        <f aca="false">F12</f>
        <v>1981</v>
      </c>
      <c r="D35" s="44" t="n">
        <f aca="false">G12</f>
        <v>2106</v>
      </c>
      <c r="E35" s="45" t="n">
        <f aca="false">H12</f>
        <v>0.97494</v>
      </c>
    </row>
    <row r="36" customFormat="false" ht="15" hidden="false" customHeight="false" outlineLevel="0" collapsed="false">
      <c r="A36" s="43" t="str">
        <f aca="false">A13</f>
        <v>v7 (Center)</v>
      </c>
      <c r="B36" s="44" t="n">
        <f aca="false">E13</f>
        <v>1551</v>
      </c>
      <c r="C36" s="44" t="n">
        <f aca="false">F13</f>
        <v>1976</v>
      </c>
      <c r="D36" s="44" t="n">
        <f aca="false">G13</f>
        <v>2066</v>
      </c>
      <c r="E36" s="45" t="n">
        <f aca="false">H13</f>
        <v>0.98432</v>
      </c>
    </row>
    <row r="37" customFormat="false" ht="15" hidden="false" customHeight="false" outlineLevel="0" collapsed="false">
      <c r="A37" s="43" t="str">
        <f aca="false">A16</f>
        <v>v7.1 Multihop (Int 5)</v>
      </c>
      <c r="B37" s="44" t="n">
        <f aca="false">E16</f>
        <v>1491</v>
      </c>
      <c r="C37" s="44" t="n">
        <f aca="false">F16</f>
        <v>1991</v>
      </c>
      <c r="D37" s="44" t="n">
        <f aca="false">G16</f>
        <v>2086</v>
      </c>
      <c r="E37" s="45" t="n">
        <f aca="false">H16</f>
        <v>0.9849</v>
      </c>
    </row>
    <row r="38" customFormat="false" ht="15" hidden="false" customHeight="false" outlineLevel="0" collapsed="false">
      <c r="A38" s="43" t="str">
        <f aca="false">A17</f>
        <v>v7.2 Multihop (Int 10)</v>
      </c>
      <c r="B38" s="44" t="n">
        <f aca="false">E17</f>
        <v>1381</v>
      </c>
      <c r="C38" s="44" t="n">
        <f aca="false">F17</f>
        <v>2071</v>
      </c>
      <c r="D38" s="44" t="n">
        <f aca="false">G17</f>
        <v>2241</v>
      </c>
      <c r="E38" s="45" t="n">
        <f aca="false">H17</f>
        <v>0.97878</v>
      </c>
    </row>
    <row r="39" customFormat="false" ht="15" hidden="false" customHeight="false" outlineLevel="0" collapsed="false">
      <c r="A39" s="43" t="str">
        <f aca="false">A18</f>
        <v>v5b (Energy-Aware)</v>
      </c>
      <c r="B39" s="44" t="n">
        <f aca="false">E18</f>
        <v>1730</v>
      </c>
      <c r="C39" s="44" t="n">
        <f aca="false">F18</f>
        <v>2091</v>
      </c>
      <c r="D39" s="44" t="n">
        <f aca="false">G18</f>
        <v>3203</v>
      </c>
      <c r="E39" s="45" t="n">
        <f aca="false">H18</f>
        <v>0.973087</v>
      </c>
    </row>
    <row r="40" customFormat="false" ht="15" hidden="false" customHeight="false" outlineLevel="0" collapsed="false">
      <c r="A40" s="43" t="str">
        <f aca="false">A19</f>
        <v>v8 (Center)</v>
      </c>
      <c r="B40" s="44" t="n">
        <f aca="false">E19</f>
        <v>2621</v>
      </c>
      <c r="C40" s="44" t="n">
        <f aca="false">F19</f>
        <v>2711</v>
      </c>
      <c r="D40" s="44" t="n">
        <f aca="false">G19</f>
        <v>2761</v>
      </c>
      <c r="E40" s="45" t="n">
        <f aca="false">H19</f>
        <v>0.992224</v>
      </c>
    </row>
    <row r="41" customFormat="false" ht="15" hidden="false" customHeight="false" outlineLevel="0" collapsed="false">
      <c r="A41" s="43" t="str">
        <f aca="false">A21</f>
        <v>v8-Chain (Center)</v>
      </c>
      <c r="B41" s="44" t="n">
        <f aca="false">E21</f>
        <v>2621</v>
      </c>
      <c r="C41" s="44" t="n">
        <f aca="false">F21</f>
        <v>2711</v>
      </c>
      <c r="D41" s="44" t="n">
        <f aca="false">G21</f>
        <v>2756</v>
      </c>
      <c r="E41" s="45" t="n">
        <f aca="false">H21</f>
        <v>0.992668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0"/>
    <col collapsed="false" customWidth="true" hidden="false" outlineLevel="0" max="11" min="2" style="0" width="10"/>
    <col collapsed="false" customWidth="true" hidden="false" outlineLevel="0" max="12" min="12" style="0" width="11"/>
  </cols>
  <sheetData>
    <row r="1" customFormat="false" ht="19.7" hidden="false" customHeight="false" outlineLevel="0" collapsed="false">
      <c r="A1" s="1" t="s">
        <v>213</v>
      </c>
    </row>
    <row r="2" customFormat="false" ht="15" hidden="false" customHeight="false" outlineLevel="0" collapsed="false">
      <c r="A2" s="2" t="s">
        <v>214</v>
      </c>
    </row>
    <row r="4" customFormat="false" ht="31.5" hidden="false" customHeight="true" outlineLevel="0" collapsed="false">
      <c r="A4" s="6" t="s">
        <v>90</v>
      </c>
      <c r="B4" s="6" t="s">
        <v>215</v>
      </c>
      <c r="C4" s="6" t="s">
        <v>216</v>
      </c>
      <c r="D4" s="6" t="s">
        <v>217</v>
      </c>
      <c r="E4" s="6" t="s">
        <v>218</v>
      </c>
      <c r="F4" s="6" t="s">
        <v>219</v>
      </c>
      <c r="G4" s="6" t="s">
        <v>220</v>
      </c>
      <c r="H4" s="6" t="s">
        <v>221</v>
      </c>
      <c r="I4" s="6" t="s">
        <v>222</v>
      </c>
      <c r="J4" s="7" t="s">
        <v>223</v>
      </c>
      <c r="K4" s="7" t="s">
        <v>224</v>
      </c>
      <c r="L4" s="7" t="s">
        <v>225</v>
      </c>
    </row>
    <row r="5" customFormat="false" ht="15" hidden="false" customHeight="false" outlineLevel="0" collapsed="false">
      <c r="A5" s="17" t="s">
        <v>155</v>
      </c>
      <c r="B5" s="18" t="n">
        <v>1730</v>
      </c>
      <c r="C5" s="18" t="n">
        <v>2091</v>
      </c>
      <c r="D5" s="18" t="n">
        <v>3203</v>
      </c>
      <c r="E5" s="19" t="n">
        <v>0.973087</v>
      </c>
      <c r="F5" s="18" t="n">
        <v>1055</v>
      </c>
      <c r="G5" s="18" t="n">
        <v>1616</v>
      </c>
      <c r="H5" s="18" t="n">
        <v>1861</v>
      </c>
      <c r="I5" s="19" t="n">
        <v>0.982785</v>
      </c>
      <c r="J5" s="20" t="n">
        <f aca="false">F5/B5-1</f>
        <v>-0.390173410404624</v>
      </c>
      <c r="K5" s="20" t="n">
        <f aca="false">H5/D5-1</f>
        <v>-0.418982204183578</v>
      </c>
      <c r="L5" s="38" t="n">
        <f aca="false">(I5-E5)*100</f>
        <v>0.969799999999998</v>
      </c>
    </row>
    <row r="6" customFormat="false" ht="15" hidden="false" customHeight="false" outlineLevel="0" collapsed="false">
      <c r="A6" s="22" t="s">
        <v>226</v>
      </c>
      <c r="B6" s="24" t="n">
        <v>1551</v>
      </c>
      <c r="C6" s="24" t="n">
        <v>1981</v>
      </c>
      <c r="D6" s="24" t="n">
        <v>2106</v>
      </c>
      <c r="E6" s="25" t="n">
        <v>0.97494</v>
      </c>
      <c r="F6" s="24" t="n">
        <v>1266</v>
      </c>
      <c r="G6" s="24" t="n">
        <v>1910</v>
      </c>
      <c r="H6" s="24" t="n">
        <v>2031</v>
      </c>
      <c r="I6" s="25" t="n">
        <v>0.97075</v>
      </c>
      <c r="J6" s="26" t="n">
        <f aca="false">F6/B6-1</f>
        <v>-0.183752417794971</v>
      </c>
      <c r="K6" s="26" t="n">
        <f aca="false">H6/D6-1</f>
        <v>-0.0356125356125356</v>
      </c>
      <c r="L6" s="39" t="n">
        <f aca="false">(I6-E6)*100</f>
        <v>-0.419000000000003</v>
      </c>
    </row>
    <row r="7" customFormat="false" ht="15" hidden="false" customHeight="false" outlineLevel="0" collapsed="false">
      <c r="A7" s="17" t="s">
        <v>227</v>
      </c>
      <c r="B7" s="18" t="n">
        <v>1551</v>
      </c>
      <c r="C7" s="18" t="n">
        <v>1976</v>
      </c>
      <c r="D7" s="18" t="n">
        <v>2066</v>
      </c>
      <c r="E7" s="19" t="n">
        <v>0.98432</v>
      </c>
      <c r="F7" s="18" t="n">
        <v>1266</v>
      </c>
      <c r="G7" s="18" t="n">
        <v>1891</v>
      </c>
      <c r="H7" s="18" t="n">
        <v>1976</v>
      </c>
      <c r="I7" s="19" t="n">
        <v>0.98135</v>
      </c>
      <c r="J7" s="20" t="n">
        <f aca="false">F7/B7-1</f>
        <v>-0.183752417794971</v>
      </c>
      <c r="K7" s="20" t="n">
        <f aca="false">H7/D7-1</f>
        <v>-0.0435624394966118</v>
      </c>
      <c r="L7" s="38" t="n">
        <f aca="false">(I7-E7)*100</f>
        <v>-0.297000000000003</v>
      </c>
    </row>
    <row r="8" customFormat="false" ht="15" hidden="false" customHeight="false" outlineLevel="0" collapsed="false">
      <c r="A8" s="22" t="s">
        <v>228</v>
      </c>
      <c r="B8" s="24" t="n">
        <v>2621</v>
      </c>
      <c r="C8" s="24" t="n">
        <v>2711</v>
      </c>
      <c r="D8" s="24" t="n">
        <v>2761</v>
      </c>
      <c r="E8" s="25" t="n">
        <v>0.992224</v>
      </c>
      <c r="F8" s="24" t="n">
        <v>1471</v>
      </c>
      <c r="G8" s="24" t="n">
        <v>1646</v>
      </c>
      <c r="H8" s="24" t="n">
        <v>1716</v>
      </c>
      <c r="I8" s="25" t="n">
        <v>0.986599</v>
      </c>
      <c r="J8" s="26" t="n">
        <f aca="false">F8/B8-1</f>
        <v>-0.438763830599008</v>
      </c>
      <c r="K8" s="26" t="n">
        <f aca="false">H8/D8-1</f>
        <v>-0.378486055776892</v>
      </c>
      <c r="L8" s="39" t="n">
        <f aca="false">(I8-E8)*100</f>
        <v>-0.562499999999999</v>
      </c>
    </row>
    <row r="9" customFormat="false" ht="15" hidden="false" customHeight="false" outlineLevel="0" collapsed="false">
      <c r="A9" s="30" t="s">
        <v>229</v>
      </c>
      <c r="B9" s="31" t="n">
        <v>2621</v>
      </c>
      <c r="C9" s="31" t="n">
        <v>2711</v>
      </c>
      <c r="D9" s="31" t="n">
        <v>2756</v>
      </c>
      <c r="E9" s="32" t="n">
        <v>0.992668</v>
      </c>
      <c r="F9" s="31" t="n">
        <v>1716</v>
      </c>
      <c r="G9" s="31" t="n">
        <v>1886</v>
      </c>
      <c r="H9" s="31" t="n">
        <v>1956</v>
      </c>
      <c r="I9" s="32" t="n">
        <v>0.990719</v>
      </c>
      <c r="J9" s="33" t="n">
        <f aca="false">F9/B9-1</f>
        <v>-0.345288057993132</v>
      </c>
      <c r="K9" s="33" t="n">
        <f aca="false">H9/D9-1</f>
        <v>-0.290275761973875</v>
      </c>
      <c r="L9" s="40" t="n">
        <f aca="false">(I9-E9)*100</f>
        <v>-0.194899999999998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6" min="3" style="0" width="10"/>
    <col collapsed="false" customWidth="true" hidden="false" outlineLevel="0" max="7" min="7" style="0" width="14"/>
    <col collapsed="false" customWidth="true" hidden="false" outlineLevel="0" max="9" min="8" style="0" width="12"/>
    <col collapsed="false" customWidth="true" hidden="false" outlineLevel="0" max="10" min="10" style="0" width="10"/>
  </cols>
  <sheetData>
    <row r="1" customFormat="false" ht="19.7" hidden="false" customHeight="false" outlineLevel="0" collapsed="false">
      <c r="A1" s="1" t="s">
        <v>230</v>
      </c>
    </row>
    <row r="2" customFormat="false" ht="15" hidden="false" customHeight="false" outlineLevel="0" collapsed="false">
      <c r="A2" s="2" t="s">
        <v>231</v>
      </c>
    </row>
    <row r="4" customFormat="false" ht="15" hidden="false" customHeight="false" outlineLevel="0" collapsed="false">
      <c r="A4" s="3" t="s">
        <v>232</v>
      </c>
    </row>
    <row r="5" customFormat="false" ht="31.5" hidden="false" customHeight="true" outlineLevel="0" collapsed="false">
      <c r="A5" s="6" t="s">
        <v>233</v>
      </c>
      <c r="B5" s="6" t="s">
        <v>234</v>
      </c>
      <c r="C5" s="6" t="s">
        <v>92</v>
      </c>
      <c r="D5" s="6" t="s">
        <v>93</v>
      </c>
      <c r="E5" s="6" t="s">
        <v>94</v>
      </c>
      <c r="F5" s="6" t="s">
        <v>24</v>
      </c>
      <c r="G5" s="6" t="s">
        <v>235</v>
      </c>
      <c r="H5" s="7" t="s">
        <v>236</v>
      </c>
      <c r="I5" s="7" t="s">
        <v>237</v>
      </c>
    </row>
    <row r="6" customFormat="false" ht="15" hidden="false" customHeight="false" outlineLevel="0" collapsed="false">
      <c r="A6" s="29" t="s">
        <v>238</v>
      </c>
      <c r="B6" s="29" t="s">
        <v>203</v>
      </c>
      <c r="C6" s="31" t="n">
        <v>2621</v>
      </c>
      <c r="D6" s="31" t="n">
        <v>2711</v>
      </c>
      <c r="E6" s="31" t="n">
        <v>2761</v>
      </c>
      <c r="F6" s="32" t="n">
        <v>0.992224</v>
      </c>
      <c r="G6" s="31" t="n">
        <v>268610</v>
      </c>
      <c r="H6" s="33" t="n">
        <f aca="false">C6/$C$6-1</f>
        <v>0</v>
      </c>
      <c r="I6" s="33" t="n">
        <f aca="false">G6/$G$6-1</f>
        <v>0</v>
      </c>
    </row>
    <row r="7" customFormat="false" ht="15" hidden="false" customHeight="false" outlineLevel="0" collapsed="false">
      <c r="A7" s="22" t="s">
        <v>239</v>
      </c>
      <c r="B7" s="22" t="s">
        <v>240</v>
      </c>
      <c r="C7" s="24" t="n">
        <v>2621</v>
      </c>
      <c r="D7" s="24" t="n">
        <v>2711</v>
      </c>
      <c r="E7" s="24" t="n">
        <v>2761</v>
      </c>
      <c r="F7" s="25" t="n">
        <v>0.992224</v>
      </c>
      <c r="G7" s="24" t="n">
        <v>268610</v>
      </c>
      <c r="H7" s="26" t="n">
        <f aca="false">C7/$C$6-1</f>
        <v>0</v>
      </c>
      <c r="I7" s="26" t="n">
        <f aca="false">G7/$G$6-1</f>
        <v>0</v>
      </c>
    </row>
    <row r="8" customFormat="false" ht="15" hidden="false" customHeight="false" outlineLevel="0" collapsed="false">
      <c r="A8" s="17" t="s">
        <v>241</v>
      </c>
      <c r="B8" s="17" t="s">
        <v>242</v>
      </c>
      <c r="C8" s="18" t="n">
        <v>2585</v>
      </c>
      <c r="D8" s="18" t="n">
        <v>2726</v>
      </c>
      <c r="E8" s="18" t="n">
        <v>2766</v>
      </c>
      <c r="F8" s="19" t="n">
        <v>0.989804</v>
      </c>
      <c r="G8" s="18" t="n">
        <v>268509</v>
      </c>
      <c r="H8" s="20" t="n">
        <f aca="false">C8/$C$6-1</f>
        <v>-0.0137352155665776</v>
      </c>
      <c r="I8" s="20" t="n">
        <f aca="false">G8/$G$6-1</f>
        <v>-0.000376009828375712</v>
      </c>
    </row>
    <row r="9" customFormat="false" ht="15" hidden="false" customHeight="false" outlineLevel="0" collapsed="false">
      <c r="A9" s="22" t="s">
        <v>243</v>
      </c>
      <c r="B9" s="22" t="s">
        <v>244</v>
      </c>
      <c r="C9" s="24" t="n">
        <v>2621</v>
      </c>
      <c r="D9" s="24" t="n">
        <v>2711</v>
      </c>
      <c r="E9" s="24" t="n">
        <v>2761</v>
      </c>
      <c r="F9" s="25" t="n">
        <v>0.992224</v>
      </c>
      <c r="G9" s="24" t="n">
        <v>268610</v>
      </c>
      <c r="H9" s="26" t="n">
        <f aca="false">C9/$C$6-1</f>
        <v>0</v>
      </c>
      <c r="I9" s="26" t="n">
        <f aca="false">G9/$G$6-1</f>
        <v>0</v>
      </c>
    </row>
    <row r="10" customFormat="false" ht="15" hidden="false" customHeight="false" outlineLevel="0" collapsed="false">
      <c r="A10" s="17" t="s">
        <v>245</v>
      </c>
      <c r="B10" s="17" t="s">
        <v>246</v>
      </c>
      <c r="C10" s="18" t="n">
        <v>1821</v>
      </c>
      <c r="D10" s="18" t="n">
        <v>2001</v>
      </c>
      <c r="E10" s="18" t="n">
        <v>2076</v>
      </c>
      <c r="F10" s="19" t="n">
        <v>0.993171</v>
      </c>
      <c r="G10" s="18" t="n">
        <v>198218</v>
      </c>
      <c r="H10" s="20" t="n">
        <f aca="false">C10/$C$6-1</f>
        <v>-0.305227012590614</v>
      </c>
      <c r="I10" s="20" t="n">
        <f aca="false">G10/$G$6-1</f>
        <v>-0.262060236029932</v>
      </c>
    </row>
    <row r="11" customFormat="false" ht="15" hidden="false" customHeight="false" outlineLevel="0" collapsed="false">
      <c r="A11" s="22" t="s">
        <v>247</v>
      </c>
      <c r="B11" s="22" t="s">
        <v>248</v>
      </c>
      <c r="C11" s="24" t="n">
        <v>2171</v>
      </c>
      <c r="D11" s="24" t="n">
        <v>2641</v>
      </c>
      <c r="E11" s="24" t="n">
        <v>2746</v>
      </c>
      <c r="F11" s="25" t="n">
        <v>0.990522</v>
      </c>
      <c r="G11" s="24" t="n">
        <v>258228</v>
      </c>
      <c r="H11" s="26" t="n">
        <f aca="false">C11/$C$6-1</f>
        <v>-0.171690194582221</v>
      </c>
      <c r="I11" s="26" t="n">
        <f aca="false">G11/$G$6-1</f>
        <v>-0.0386508320613529</v>
      </c>
    </row>
    <row r="12" customFormat="false" ht="15" hidden="false" customHeight="false" outlineLevel="0" collapsed="false">
      <c r="A12" s="17" t="s">
        <v>249</v>
      </c>
      <c r="B12" s="17" t="s">
        <v>250</v>
      </c>
      <c r="C12" s="18" t="n">
        <v>1730</v>
      </c>
      <c r="D12" s="18" t="n">
        <v>2086</v>
      </c>
      <c r="E12" s="18" t="n">
        <v>2166</v>
      </c>
      <c r="F12" s="19" t="n">
        <v>0.98163</v>
      </c>
      <c r="G12" s="18" t="n">
        <v>201565</v>
      </c>
      <c r="H12" s="20" t="n">
        <f aca="false">C12/$C$6-1</f>
        <v>-0.339946585272797</v>
      </c>
      <c r="I12" s="20" t="n">
        <f aca="false">G12/$G$6-1</f>
        <v>-0.249599791519303</v>
      </c>
    </row>
    <row r="15" customFormat="false" ht="15" hidden="false" customHeight="false" outlineLevel="0" collapsed="false">
      <c r="A15" s="3" t="s">
        <v>251</v>
      </c>
    </row>
    <row r="16" customFormat="false" ht="31.5" hidden="false" customHeight="true" outlineLevel="0" collapsed="false">
      <c r="A16" s="6" t="s">
        <v>252</v>
      </c>
      <c r="B16" s="6" t="s">
        <v>195</v>
      </c>
      <c r="C16" s="6" t="s">
        <v>92</v>
      </c>
      <c r="D16" s="6" t="s">
        <v>93</v>
      </c>
      <c r="E16" s="6" t="s">
        <v>94</v>
      </c>
      <c r="F16" s="6" t="s">
        <v>24</v>
      </c>
      <c r="G16" s="6" t="s">
        <v>253</v>
      </c>
      <c r="H16" s="6" t="s">
        <v>254</v>
      </c>
      <c r="I16" s="6" t="s">
        <v>255</v>
      </c>
      <c r="J16" s="6" t="s">
        <v>256</v>
      </c>
    </row>
    <row r="17" customFormat="false" ht="15" hidden="false" customHeight="false" outlineLevel="0" collapsed="false">
      <c r="A17" s="17" t="s">
        <v>257</v>
      </c>
      <c r="B17" s="17" t="s">
        <v>202</v>
      </c>
      <c r="C17" s="18" t="n">
        <v>2621</v>
      </c>
      <c r="D17" s="18" t="n">
        <v>2711</v>
      </c>
      <c r="E17" s="18" t="n">
        <v>2761</v>
      </c>
      <c r="F17" s="19" t="n">
        <v>0.992224</v>
      </c>
      <c r="G17" s="18" t="n">
        <v>2618</v>
      </c>
      <c r="H17" s="18" t="n">
        <v>2720</v>
      </c>
      <c r="I17" s="18" t="n">
        <v>2766</v>
      </c>
      <c r="J17" s="19" t="n">
        <v>0.9926</v>
      </c>
    </row>
    <row r="18" customFormat="false" ht="15" hidden="false" customHeight="false" outlineLevel="0" collapsed="false">
      <c r="A18" s="22" t="s">
        <v>258</v>
      </c>
      <c r="B18" s="22" t="s">
        <v>202</v>
      </c>
      <c r="C18" s="24" t="n">
        <v>2566</v>
      </c>
      <c r="D18" s="24" t="n">
        <v>2661</v>
      </c>
      <c r="E18" s="24" t="n">
        <v>2692</v>
      </c>
      <c r="F18" s="25" t="n">
        <v>0.991087</v>
      </c>
      <c r="G18" s="24" t="n">
        <v>2571</v>
      </c>
      <c r="H18" s="24" t="n">
        <v>2664</v>
      </c>
      <c r="I18" s="24" t="n">
        <v>2704</v>
      </c>
      <c r="J18" s="25" t="n">
        <v>0.9922</v>
      </c>
    </row>
    <row r="19" customFormat="false" ht="15" hidden="false" customHeight="false" outlineLevel="0" collapsed="false">
      <c r="A19" s="30" t="s">
        <v>259</v>
      </c>
      <c r="B19" s="29" t="s">
        <v>202</v>
      </c>
      <c r="C19" s="31" t="n">
        <v>2621</v>
      </c>
      <c r="D19" s="31" t="n">
        <v>2711</v>
      </c>
      <c r="E19" s="31" t="n">
        <v>2756</v>
      </c>
      <c r="F19" s="32" t="n">
        <v>0.992668</v>
      </c>
      <c r="G19" s="31" t="n">
        <v>2618</v>
      </c>
      <c r="H19" s="31" t="n">
        <v>2720</v>
      </c>
      <c r="I19" s="31" t="n">
        <v>2765</v>
      </c>
      <c r="J19" s="32" t="n">
        <v>0.9925</v>
      </c>
    </row>
    <row r="20" customFormat="false" ht="15" hidden="false" customHeight="false" outlineLevel="0" collapsed="false">
      <c r="A20" s="22" t="s">
        <v>257</v>
      </c>
      <c r="B20" s="22" t="s">
        <v>205</v>
      </c>
      <c r="C20" s="24" t="n">
        <v>1471</v>
      </c>
      <c r="D20" s="24" t="n">
        <v>1646</v>
      </c>
      <c r="E20" s="24" t="n">
        <v>1716</v>
      </c>
      <c r="F20" s="25" t="n">
        <v>0.986599</v>
      </c>
      <c r="G20" s="24" t="n">
        <v>1487</v>
      </c>
      <c r="H20" s="24" t="n">
        <v>1673</v>
      </c>
      <c r="I20" s="24" t="n">
        <v>1730</v>
      </c>
      <c r="J20" s="25" t="n">
        <v>0.9886</v>
      </c>
    </row>
    <row r="21" customFormat="false" ht="15" hidden="false" customHeight="false" outlineLevel="0" collapsed="false">
      <c r="A21" s="17" t="s">
        <v>258</v>
      </c>
      <c r="B21" s="17" t="s">
        <v>205</v>
      </c>
      <c r="C21" s="18" t="n">
        <v>1696</v>
      </c>
      <c r="D21" s="18" t="n">
        <v>1901</v>
      </c>
      <c r="E21" s="18" t="n">
        <v>1961</v>
      </c>
      <c r="F21" s="19" t="n">
        <v>0.990255</v>
      </c>
      <c r="G21" s="18" t="n">
        <v>1740</v>
      </c>
      <c r="H21" s="18" t="n">
        <v>1932</v>
      </c>
      <c r="I21" s="18" t="n">
        <v>1992</v>
      </c>
      <c r="J21" s="19" t="n">
        <v>0.9907</v>
      </c>
    </row>
    <row r="22" customFormat="false" ht="15" hidden="false" customHeight="false" outlineLevel="0" collapsed="false">
      <c r="A22" s="30" t="s">
        <v>259</v>
      </c>
      <c r="B22" s="29" t="s">
        <v>205</v>
      </c>
      <c r="C22" s="31" t="n">
        <v>1716</v>
      </c>
      <c r="D22" s="31" t="n">
        <v>1886</v>
      </c>
      <c r="E22" s="31" t="n">
        <v>1956</v>
      </c>
      <c r="F22" s="32" t="n">
        <v>0.990719</v>
      </c>
      <c r="G22" s="31" t="n">
        <v>1743</v>
      </c>
      <c r="H22" s="31" t="n">
        <v>1932</v>
      </c>
      <c r="I22" s="31" t="n">
        <v>1995</v>
      </c>
      <c r="J22" s="32" t="n">
        <v>0.9905</v>
      </c>
    </row>
    <row r="25" customFormat="false" ht="15" hidden="false" customHeight="false" outlineLevel="0" collapsed="false">
      <c r="A25" s="3" t="s">
        <v>260</v>
      </c>
    </row>
    <row r="26" customFormat="false" ht="31.5" hidden="false" customHeight="true" outlineLevel="0" collapsed="false">
      <c r="A26" s="6" t="s">
        <v>90</v>
      </c>
      <c r="B26" s="6" t="s">
        <v>195</v>
      </c>
      <c r="C26" s="6" t="s">
        <v>253</v>
      </c>
      <c r="D26" s="6" t="s">
        <v>254</v>
      </c>
      <c r="E26" s="6" t="s">
        <v>255</v>
      </c>
      <c r="F26" s="6" t="s">
        <v>256</v>
      </c>
    </row>
    <row r="27" customFormat="false" ht="15" hidden="false" customHeight="false" outlineLevel="0" collapsed="false">
      <c r="A27" s="17" t="s">
        <v>261</v>
      </c>
      <c r="B27" s="17" t="s">
        <v>202</v>
      </c>
      <c r="C27" s="18" t="n">
        <v>1688</v>
      </c>
      <c r="D27" s="18" t="n">
        <v>2119</v>
      </c>
      <c r="E27" s="18" t="n">
        <v>2374</v>
      </c>
      <c r="F27" s="19" t="n">
        <v>0.9756</v>
      </c>
    </row>
    <row r="28" customFormat="false" ht="15" hidden="false" customHeight="false" outlineLevel="0" collapsed="false">
      <c r="A28" s="29" t="s">
        <v>228</v>
      </c>
      <c r="B28" s="29" t="s">
        <v>202</v>
      </c>
      <c r="C28" s="31" t="n">
        <v>2618</v>
      </c>
      <c r="D28" s="31" t="n">
        <v>2720</v>
      </c>
      <c r="E28" s="31" t="n">
        <v>2766</v>
      </c>
      <c r="F28" s="32" t="n">
        <v>0.9926</v>
      </c>
    </row>
    <row r="29" customFormat="false" ht="15" hidden="false" customHeight="false" outlineLevel="0" collapsed="false">
      <c r="A29" s="17" t="s">
        <v>261</v>
      </c>
      <c r="B29" s="17" t="s">
        <v>205</v>
      </c>
      <c r="C29" s="18" t="n">
        <v>1152</v>
      </c>
      <c r="D29" s="18" t="n">
        <v>1674</v>
      </c>
      <c r="E29" s="18" t="n">
        <v>2001</v>
      </c>
      <c r="F29" s="19" t="n">
        <v>0.9772</v>
      </c>
    </row>
    <row r="30" customFormat="false" ht="15" hidden="false" customHeight="false" outlineLevel="0" collapsed="false">
      <c r="A30" s="29" t="s">
        <v>228</v>
      </c>
      <c r="B30" s="29" t="s">
        <v>205</v>
      </c>
      <c r="C30" s="31" t="n">
        <v>1487</v>
      </c>
      <c r="D30" s="31" t="n">
        <v>1673</v>
      </c>
      <c r="E30" s="31" t="n">
        <v>1732</v>
      </c>
      <c r="F30" s="32" t="n">
        <v>0.9882</v>
      </c>
    </row>
    <row r="32" customFormat="false" ht="15" hidden="false" customHeight="false" outlineLevel="0" collapsed="false">
      <c r="A32" s="35" t="s">
        <v>262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2026-09-24T16:18:10Z</dcterms:created>
  <dc:creator>openpyxl</dc:creator>
  <dc:description/>
  <dc:language>en-US</dc:language>
  <cp:lastModifiedBy/>
  <dcterms:modified xsi:type="dcterms:W3CDTF">2026-09-24T16:18:16Z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