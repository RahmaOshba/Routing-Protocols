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verview" sheetId="2" state="visible" r:id="rId4"/>
    <sheet name="Feature matrix" sheetId="3" state="visible" r:id="rId5"/>
    <sheet name="Parameters" sheetId="4" state="visible" r:id="rId6"/>
    <sheet name="Results" sheetId="5" state="visible" r:id="rId7"/>
    <sheet name="Equations" sheetId="6" state="visible" r:id="rId8"/>
    <sheet name="Referen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<sst xmlns="http://schemas.openxmlformats.org/spreadsheetml/2006/main" count="605" uniqueCount="331">
  <si>
    <t xml:space="preserve">Literature review — comparison workbook</t>
  </si>
  <si>
    <t xml:space="preserve">Companion to Literature_Review.docx. One row per paper, with v8-Chain added for comparison.</t>
  </si>
  <si>
    <t xml:space="preserve">Overview — problem, method, strengths, limitations and relevance of each paper</t>
  </si>
  <si>
    <t xml:space="preserve">Feature matrix — which paper has which design feature (Yes / Partly / No), with counts</t>
  </si>
  <si>
    <t xml:space="preserve">Parameters — simulation settings reported in each paper vs. the unified environment</t>
  </si>
  <si>
    <t xml:space="preserve">Results — published numbers vs. our reproduction (paper settings) and the unified / improved runs</t>
  </si>
  <si>
    <t xml:space="preserve">Equations — the key formula of each protocol</t>
  </si>
  <si>
    <t xml:space="preserve">References — full citations</t>
  </si>
  <si>
    <t xml:space="preserve">Blue numbers = typed from the papers; black = formulas; our results come from results/summary_all.csv.</t>
  </si>
  <si>
    <t xml:space="preserve">"not re-verified" = the value was not checked against the paper text for this workbook.</t>
  </si>
  <si>
    <t xml:space="preserve">Overview of the reviewed papers</t>
  </si>
  <si>
    <t xml:space="preserve">#</t>
  </si>
  <si>
    <t xml:space="preserve">Protocol</t>
  </si>
  <si>
    <t xml:space="preserve">Year</t>
  </si>
  <si>
    <t xml:space="preserve">Authors</t>
  </si>
  <si>
    <t xml:space="preserve">Venue</t>
  </si>
  <si>
    <t xml:space="preserve">Category</t>
  </si>
  <si>
    <t xml:space="preserve">Problem addressed</t>
  </si>
  <si>
    <t xml:space="preserve">Method</t>
  </si>
  <si>
    <t xml:space="preserve">Strengths</t>
  </si>
  <si>
    <t xml:space="preserve">Limitations</t>
  </si>
  <si>
    <t xml:space="preserve">Relevance to v8-Chain</t>
  </si>
  <si>
    <t xml:space="preserve">Code in this thesis</t>
  </si>
  <si>
    <t xml:space="preserve">Link</t>
  </si>
  <si>
    <t xml:space="preserve">LEACH</t>
  </si>
  <si>
    <t xml:space="preserve">Heinzelman, Chandrakasan, Balakrishnan</t>
  </si>
  <si>
    <t xml:space="preserve">Proc. HICSS-33 (IEEE)</t>
  </si>
  <si>
    <t xml:space="preserve">Classic</t>
  </si>
  <si>
    <t xml:space="preserve">Direct / MTE routing drains far or near nodes; static CHs die first.</t>
  </si>
  <si>
    <t xml:space="preserve">Random CH rotation with threshold T(n) and epoch set G; nearest-CH join; TDMA; CH fuses data and sends to BS.</t>
  </si>
  <si>
    <t xml:space="preserve">Fully distributed; rotation spreads load; local fusion.</t>
  </si>
  <si>
    <t xml:space="preserve">Energy-blind election; random CH count and placement; direct CH→BS.</t>
  </si>
  <si>
    <t xml:space="preserve">T(r), epoch G and nearest join kept in v3–v8-Chain.</t>
  </si>
  <si>
    <t xml:space="preserve">leach_ORIGINAL / leach_EDITED</t>
  </si>
  <si>
    <t xml:space="preserve">https://doi.org/10.1109/HICSS.2000.926982</t>
  </si>
  <si>
    <t xml:space="preserve">LEACH-C</t>
  </si>
  <si>
    <t xml:space="preserve">IEEE Trans. Wireless Communications</t>
  </si>
  <si>
    <t xml:space="preserve">LEACH gives no guarantee on CH number or placement.</t>
  </si>
  <si>
    <t xml:space="preserve">BS chooses CHs centrally (simulated annealing) among nodes with ≥ average energy; defines the two-slope radio model.</t>
  </si>
  <si>
    <t xml:space="preserve">High-quality clusters; standard radio model.</t>
  </si>
  <si>
    <t xml:space="preserve">Needs positions and energy of all nodes at the BS every round.</t>
  </si>
  <si>
    <t xml:space="preserve">Source of the unified radio model; "≥ average energy" idea behind I5.</t>
  </si>
  <si>
    <t xml:space="preserve">— (radio model only)</t>
  </si>
  <si>
    <t xml:space="preserve">https://doi.org/10.1109/TWC.2002.804190</t>
  </si>
  <si>
    <t xml:space="preserve">HEED</t>
  </si>
  <si>
    <t xml:space="preserve">Younis, Fahmy</t>
  </si>
  <si>
    <t xml:space="preserve">IEEE Trans. Mobile Computing 3(4)</t>
  </si>
  <si>
    <t xml:space="preserve">Energy-aware distributed clustering with bounded iterations.</t>
  </si>
  <si>
    <t xml:space="preserve">CH_prob = max(C_prob·E_res/E_max, p_min), doubled each iteration; tentative/final CH; ties broken by cost (1/degree).</t>
  </si>
  <si>
    <t xml:space="preserve">Energy-aware, distributed, provable termination, good CH spread.</t>
  </si>
  <si>
    <t xml:space="preserve">Negotiation messages paid every clustering round.</t>
  </si>
  <si>
    <t xml:space="preserve">Energy × connectivity score kept, negotiation removed (single pass, v3).</t>
  </si>
  <si>
    <t xml:space="preserve">heed_ORIGINAL / heed_EDITED / heed_fairness_EDITED</t>
  </si>
  <si>
    <t xml:space="preserve">https://doi.org/10.1109/TMC.2004.41</t>
  </si>
  <si>
    <t xml:space="preserve">PEGASIS</t>
  </si>
  <si>
    <t xml:space="preserve">Lindsey, Raghavendra</t>
  </si>
  <si>
    <t xml:space="preserve">Proc. IEEE Aerospace Conference</t>
  </si>
  <si>
    <t xml:space="preserve">Reduce LEACH CH overhead further.</t>
  </si>
  <si>
    <t xml:space="preserve">Greedy chain from the farthest node; data fused along the chain; leader i mod N sends to BS; chain rebuilt on death.</t>
  </si>
  <si>
    <t xml:space="preserve">Short hops, one long transmission per round.</t>
  </si>
  <si>
    <t xml:space="preserve">Large delay; single leader = single point of failure.</t>
  </si>
  <si>
    <t xml:space="preserve">Motivates CH-to-CH relaying (v6/v7, energy-aware in v8-Chain).</t>
  </si>
  <si>
    <t xml:space="preserve">pegasis_ORIGINAL / pegasis_EDITED</t>
  </si>
  <si>
    <t xml:space="preserve">https://doi.org/10.1109/AERO.2002.1035242</t>
  </si>
  <si>
    <t xml:space="preserve">SH-LEACH</t>
  </si>
  <si>
    <t xml:space="preserve">Shrestha, Kim, Jung, Lee</t>
  </si>
  <si>
    <t xml:space="preserve">IJIBC 7(1):30–35</t>
  </si>
  <si>
    <t xml:space="preserve">LEACH + HEED hybrid</t>
  </si>
  <si>
    <t xml:space="preserve">LEACH ignores energy; HEED probability shrinks at low energy.</t>
  </si>
  <si>
    <t xml:space="preserve">LEACH draw with CH_prob = C·(E/E_max)·(C·r)/(1 + CH_cho mod 1/C).</t>
  </si>
  <si>
    <t xml:space="preserve">Simple energy-aware LEACH.</t>
  </si>
  <si>
    <t xml:space="preserve">r never reset → ≈ 29 CHs per round; BS position and packet size not stated.</t>
  </si>
  <si>
    <t xml:space="preserve">Fixed (r mod 1/C) → best reproduced protocol.</t>
  </si>
  <si>
    <t xml:space="preserve">shleach_ORIGINAL / _EDITED / _IMPROVED</t>
  </si>
  <si>
    <t xml:space="preserve">https://doi.org/10.7236/IJIBC.2015.7.1.30</t>
  </si>
  <si>
    <t xml:space="preserve">H-LEACH</t>
  </si>
  <si>
    <t xml:space="preserve">Razaque, Mudigulam, Gavini, Amsaad, Abdulgader, Krishna</t>
  </si>
  <si>
    <t xml:space="preserve">Proc. IEEE LISAT</t>
  </si>
  <si>
    <t xml:space="preserve">LEACH may elect weak nodes (energy holes).</t>
  </si>
  <si>
    <t xml:space="preserve">e0 = P·E/E_max in LEACH threshold; CH only if E &gt; E_avg.</t>
  </si>
  <si>
    <t xml:space="preserve">Energy gate removes weak candidates.</t>
  </si>
  <si>
    <t xml:space="preserve">Deadlock with equal starting energy; constant energy per round; no G set; 4312 &gt; 4000-round limit.</t>
  </si>
  <si>
    <t xml:space="preserve">Gate with ≥ + epoch fix = I5 in v8.</t>
  </si>
  <si>
    <t xml:space="preserve">hleach_ORIGINAL / _EDITED / _IMPROVED</t>
  </si>
  <si>
    <t xml:space="preserve">IEEE Xplore (search the title)</t>
  </si>
  <si>
    <t xml:space="preserve">EECH-HEED</t>
  </si>
  <si>
    <t xml:space="preserve">Kaur, Kour, Singh</t>
  </si>
  <si>
    <t xml:space="preserve">Scientific Reports 15, 35548 (open access)</t>
  </si>
  <si>
    <t xml:space="preserve">Recent hybrid</t>
  </si>
  <si>
    <t xml:space="preserve">Soil monitoring with heterogeneous energy; static thresholds.</t>
  </si>
  <si>
    <t xml:space="preserve">Zone 1 HEED (C_prob·E/E_avg), zone 2 EECH ((E/E_max)(D/D_max)), T·α·β threshold, multi-hop, adaptive hard/soft sensing.</t>
  </si>
  <si>
    <t xml:space="preserve">Zone-aware election, multi-hop for far nodes.</t>
  </si>
  <si>
    <t xml:space="preserve">Zone-2 P ≈ 1 → rotation collapses; lifetime partly from sending less; text/table inconsistencies.</t>
  </si>
  <si>
    <t xml:space="preserve">Closest recent hybrid; its energy × degree score is close to v8-Chain's.</t>
  </si>
  <si>
    <t xml:space="preserve">eechheed_ORIGINAL / _EDITED / _IMPROVED</t>
  </si>
  <si>
    <t xml:space="preserve">https://doi.org/10.1038/s41598-025-19480-y</t>
  </si>
  <si>
    <t xml:space="preserve">RL-ILEACH</t>
  </si>
  <si>
    <t xml:space="preserve">El-Sayed, Abd-Elgaber, Refaay</t>
  </si>
  <si>
    <t xml:space="preserve">Scientific Reports (open access)</t>
  </si>
  <si>
    <t xml:space="preserve">Recent — learning</t>
  </si>
  <si>
    <t xml:space="preserve">Static CH choice in LEACH/ILEACH.</t>
  </si>
  <si>
    <t xml:space="preserve">Tabular Q-learning chooses CHs from residual energy, node density and distance.</t>
  </si>
  <si>
    <t xml:space="preserve">Adaptive; lighter than deep RL.</t>
  </si>
  <si>
    <t xml:space="preserve">FND earlier than ILEACH (524 vs 936); learning overhead not quantified; gain figures differ between abstract and contributions.</t>
  </si>
  <si>
    <t xml:space="preserve">Learning-based trend; v8-Chain reaches a later FND with a closed-form score.</t>
  </si>
  <si>
    <t xml:space="preserve">— (reviewed)</t>
  </si>
  <si>
    <t xml:space="preserve">https://doi.org/10.1038/s41598-026-65225-w</t>
  </si>
  <si>
    <t xml:space="preserve">DL-HEED</t>
  </si>
  <si>
    <t xml:space="preserve">Juwaied, Jackowska-Strumillo</t>
  </si>
  <si>
    <t xml:space="preserve">Applied Sciences 15(16), 8996 (open access)</t>
  </si>
  <si>
    <t xml:space="preserve">HEED heuristics miss spatial/temporal patterns.</t>
  </si>
  <si>
    <t xml:space="preserve">Graph neural network on energy, degree, position and signal strength selects CHs (heterogeneous WSNs).</t>
  </si>
  <si>
    <t xml:space="preserve">Uses graph structure; heterogeneous energy.</t>
  </si>
  <si>
    <t xml:space="preserve">Training data and inference cost; compared mainly with HEED variants.</t>
  </si>
  <si>
    <t xml:space="preserve">Confirms energy + degree as key features.</t>
  </si>
  <si>
    <t xml:space="preserve">https://doi.org/10.3390/app15168996</t>
  </si>
  <si>
    <t xml:space="preserve">TLC</t>
  </si>
  <si>
    <t xml:space="preserve">Subedi, Acharya, Lee, Lee</t>
  </si>
  <si>
    <t xml:space="preserve">Telecom 5(3), 27 (open access)</t>
  </si>
  <si>
    <t xml:space="preserve">Recent — LEACH extension</t>
  </si>
  <si>
    <t xml:space="preserve">LEACH boundary problem in random deployments.</t>
  </si>
  <si>
    <t xml:space="preserve">Two-level LEACH-based CH selection with a distance threshold.</t>
  </si>
  <si>
    <t xml:space="preserve">Simple, distributed.</t>
  </si>
  <si>
    <t xml:space="preserve">Tied to deployment geometry; no CH failure recovery.</t>
  </si>
  <si>
    <t xml:space="preserve">Targets CH placement, not CH protection.</t>
  </si>
  <si>
    <t xml:space="preserve">https://doi.org/10.3390/telecom5030027</t>
  </si>
  <si>
    <t xml:space="preserve">FTEC</t>
  </si>
  <si>
    <t xml:space="preserve">Jassbi, Moridi</t>
  </si>
  <si>
    <t xml:space="preserve">Wireless Personal Communications</t>
  </si>
  <si>
    <t xml:space="preserve">Fault tolerance</t>
  </si>
  <si>
    <t xml:space="preserve">CH failures break clusters.</t>
  </si>
  <si>
    <t xml:space="preserve">Fault-tolerant energy-efficient clustering with backup mechanisms.</t>
  </si>
  <si>
    <t xml:space="preserve">Keeps clusters working after a CH fails.</t>
  </si>
  <si>
    <t xml:space="preserve">No energy-aware inter-CH relay.</t>
  </si>
  <si>
    <t xml:space="preserve">Inspired backup CH and cluster repair (v5).</t>
  </si>
  <si>
    <t xml:space="preserve">— (cited)</t>
  </si>
  <si>
    <t xml:space="preserve">—</t>
  </si>
  <si>
    <t xml:space="preserve">CH-rotation review</t>
  </si>
  <si>
    <t xml:space="preserve">Pachlor, Shrimankar, Nagwanshi, Paliwal</t>
  </si>
  <si>
    <t xml:space="preserve">arXiv:2206.08892</t>
  </si>
  <si>
    <t xml:space="preserve">Review</t>
  </si>
  <si>
    <t xml:space="preserve">Survey of CH-rotation strategies.</t>
  </si>
  <si>
    <t xml:space="preserve">Classifies time-driven vs energy-driven rotation and their overhead.</t>
  </si>
  <si>
    <t xml:space="preserve">Broad overview.</t>
  </si>
  <si>
    <t xml:space="preserve">Review only.</t>
  </si>
  <si>
    <t xml:space="preserve">Supports cluster reuse + energy-triggered handover (I2).</t>
  </si>
  <si>
    <t xml:space="preserve">https://arxiv.org/abs/2206.08892</t>
  </si>
  <si>
    <t xml:space="preserve">EEUC</t>
  </si>
  <si>
    <t xml:space="preserve">Li, Ye, Chen, Wu</t>
  </si>
  <si>
    <t xml:space="preserve">Proc. IEEE MASS</t>
  </si>
  <si>
    <t xml:space="preserve">Unequal clustering</t>
  </si>
  <si>
    <t xml:space="preserve">CHs near the BS die first (hot spot).</t>
  </si>
  <si>
    <t xml:space="preserve">Unequal cluster sizes: smaller clusters near the BS.</t>
  </si>
  <si>
    <t xml:space="preserve">Balances relay load.</t>
  </si>
  <si>
    <t xml:space="preserve">Needs competition radius tuning.</t>
  </si>
  <si>
    <t xml:space="preserve">Relay-energy awareness in v8-Chain.</t>
  </si>
  <si>
    <t xml:space="preserve">Chauhan &amp; Soni</t>
  </si>
  <si>
    <t xml:space="preserve">Chauhan, Soni</t>
  </si>
  <si>
    <t xml:space="preserve">J. Ambient Intell. Humanized Computing 12</t>
  </si>
  <si>
    <t xml:space="preserve">Unequal clustering + relay</t>
  </si>
  <si>
    <t xml:space="preserve">Relay load in multi-hop clustering.</t>
  </si>
  <si>
    <t xml:space="preserve">Unequal clustering with multi-hop through low-degree relay nodes.</t>
  </si>
  <si>
    <t xml:space="preserve">Energy-aware relaying.</t>
  </si>
  <si>
    <t xml:space="preserve">Extra route computation.</t>
  </si>
  <si>
    <t xml:space="preserve">Relay only through CHs that can afford it.</t>
  </si>
  <si>
    <t xml:space="preserve">v8-Chain (proposed)</t>
  </si>
  <si>
    <t xml:space="preserve">R. K. Oshba (this thesis)</t>
  </si>
  <si>
    <t xml:space="preserve">Master's thesis</t>
  </si>
  <si>
    <t xml:space="preserve">Proposed</t>
  </si>
  <si>
    <t xml:space="preserve">Early first-node death; no protocol combines cheap election, reuse, CH protection and energy-aware relay.</t>
  </si>
  <si>
    <t xml:space="preserve">Single-pass score T(r)·(E/E0)·(1 + deg/deg_max) with energy gate; 5-round cluster reuse; backup CH, proactive handover, orphan re-join; direct-to-BS; relay through a closer CH only if cheaper.</t>
  </si>
  <si>
    <t xml:space="preserve">Latest FND of all compared protocols; robust over 8 topologies; +16 % FND with a far BS.</t>
  </si>
  <si>
    <t xml:space="preserve">Analytical energy model; static homogeneous nodes; PEGASIS keeps a longer LND; security layer not simulated yet.</t>
  </si>
  <si>
    <t xml:space="preserve">code/4_PROPOSED/v8_chain_*.cc</t>
  </si>
  <si>
    <t xml:space="preserve">github.com/RahmaOshba/WSNs</t>
  </si>
  <si>
    <t xml:space="preserve">Design features of each protocol</t>
  </si>
  <si>
    <t xml:space="preserve">Yes = fully present, Partly = partially or optionally, No = absent. The last row counts how many reviewed papers (not v8-Chain) have each feature.</t>
  </si>
  <si>
    <t xml:space="preserve">Energy-aware election</t>
  </si>
  <si>
    <t xml:space="preserve">Distributed</t>
  </si>
  <si>
    <t xml:space="preserve">Single-pass (no negotiation)</t>
  </si>
  <si>
    <t xml:space="preserve">Cluster reuse (multi-round)</t>
  </si>
  <si>
    <t xml:space="preserve">CH fault tolerance / backup</t>
  </si>
  <si>
    <t xml:space="preserve">Inter-CH multi-hop</t>
  </si>
  <si>
    <t xml:space="preserve">Relay only if it saves energy</t>
  </si>
  <si>
    <t xml:space="preserve">Heterogeneous energy</t>
  </si>
  <si>
    <t xml:space="preserve">Adaptive sensing</t>
  </si>
  <si>
    <t xml:space="preserve">Learning-based</t>
  </si>
  <si>
    <t xml:space="preserve">Yes count</t>
  </si>
  <si>
    <t xml:space="preserve">No</t>
  </si>
  <si>
    <t xml:space="preserve">Yes</t>
  </si>
  <si>
    <t xml:space="preserve">Partly</t>
  </si>
  <si>
    <t xml:space="preserve">Papers with "Yes"</t>
  </si>
  <si>
    <t xml:space="preserve">Reading: no reviewed paper has both cluster reuse + CH fault tolerance + an energy-aware relay decision; v8-Chain combines them.</t>
  </si>
  <si>
    <t xml:space="preserve">Simulation settings reported in each paper</t>
  </si>
  <si>
    <t xml:space="preserve">The ORIGINAL codes in code/1_ORIGINAL follow these settings. "assumed" = missing in the paper and chosen by us (documented in the code).</t>
  </si>
  <si>
    <t xml:space="preserve">Simulator</t>
  </si>
  <si>
    <t xml:space="preserve">Nodes</t>
  </si>
  <si>
    <t xml:space="preserve">Field</t>
  </si>
  <si>
    <t xml:space="preserve">Base station</t>
  </si>
  <si>
    <t xml:space="preserve">Initial energy</t>
  </si>
  <si>
    <t xml:space="preserve">Data packet (bits)</t>
  </si>
  <si>
    <t xml:space="preserve">Radio model</t>
  </si>
  <si>
    <t xml:space="preserve">Aggregation</t>
  </si>
  <si>
    <t xml:space="preserve">Other key parameters</t>
  </si>
  <si>
    <t xml:space="preserve">not re-verified</t>
  </si>
  <si>
    <t xml:space="preserve">100</t>
  </si>
  <si>
    <t xml:space="preserve">50 × 50 m</t>
  </si>
  <si>
    <t xml:space="preserve">(25, −100) — far</t>
  </si>
  <si>
    <t xml:space="preserve">0.5 J (also 0.25 / 1 J)</t>
  </si>
  <si>
    <t xml:space="preserve">2000</t>
  </si>
  <si>
    <t xml:space="preserve">single-term, 100 pJ/bit/m²</t>
  </si>
  <si>
    <t xml:space="preserve">5 nJ/bit</t>
  </si>
  <si>
    <t xml:space="preserve">P = 0.05</t>
  </si>
  <si>
    <t xml:space="preserve">ns</t>
  </si>
  <si>
    <t xml:space="preserve">100 × 100 m</t>
  </si>
  <si>
    <t xml:space="preserve">(50, 175) — far</t>
  </si>
  <si>
    <t xml:space="preserve">two-slope (defines ε_fs, ε_mp)</t>
  </si>
  <si>
    <t xml:space="preserve">k = 5 clusters</t>
  </si>
  <si>
    <t xml:space="preserve">300–700 (500 used)</t>
  </si>
  <si>
    <t xml:space="preserve">2 J</t>
  </si>
  <si>
    <t xml:space="preserve">1000 (100 B + 25 B header)</t>
  </si>
  <si>
    <t xml:space="preserve">two-slope, d0 = 75 m</t>
  </si>
  <si>
    <t xml:space="preserve">C_prob = 0.05, p_min = 5·10⁻⁴, 5 TDMA frames/round</t>
  </si>
  <si>
    <t xml:space="preserve">50 × 50 m (also 100 × 100 m)</t>
  </si>
  <si>
    <t xml:space="preserve">(25, 150) — far</t>
  </si>
  <si>
    <t xml:space="preserve">0.5 J</t>
  </si>
  <si>
    <t xml:space="preserve">leader = i mod N</t>
  </si>
  <si>
    <t xml:space="preserve">MATLAB</t>
  </si>
  <si>
    <t xml:space="preserve">not stated (centre assumed)</t>
  </si>
  <si>
    <t xml:space="preserve">not stated (2000 assumed)</t>
  </si>
  <si>
    <t xml:space="preserve">not stated (5 nJ assumed)</t>
  </si>
  <si>
    <t xml:space="preserve">C_prob = 0.10, 2000 rounds</t>
  </si>
  <si>
    <t xml:space="preserve">(50, 50) — centre</t>
  </si>
  <si>
    <t xml:space="preserve">4000</t>
  </si>
  <si>
    <t xml:space="preserve">two-slope (tables conflict with 100 pJ)</t>
  </si>
  <si>
    <t xml:space="preserve">P = 0.1, max 4000 rounds</t>
  </si>
  <si>
    <t xml:space="preserve">MATLAB R2023a</t>
  </si>
  <si>
    <t xml:space="preserve">100 (30 + 70)</t>
  </si>
  <si>
    <t xml:space="preserve">zone 1: 0.5 J; zone 2: 0.3–0.6 J, 20 % at 1.0–1.5 J</t>
  </si>
  <si>
    <t xml:space="preserve">two-slope</t>
  </si>
  <si>
    <t xml:space="preserve">50 nJ/bit</t>
  </si>
  <si>
    <t xml:space="preserve">C_prob = 0.05, zone radius 30 m, 20 runs</t>
  </si>
  <si>
    <t xml:space="preserve">200 and 500</t>
  </si>
  <si>
    <t xml:space="preserve">first-order</t>
  </si>
  <si>
    <t xml:space="preserve">tabular Q-learning</t>
  </si>
  <si>
    <t xml:space="preserve">several sizes</t>
  </si>
  <si>
    <t xml:space="preserve">heterogeneous</t>
  </si>
  <si>
    <t xml:space="preserve">graph neural network</t>
  </si>
  <si>
    <t xml:space="preserve">random deployment</t>
  </si>
  <si>
    <t xml:space="preserve">distance threshold (level 1)</t>
  </si>
  <si>
    <t xml:space="preserve">Unified env. (this thesis)</t>
  </si>
  <si>
    <t xml:space="preserve">ns-3.41 (C++)</t>
  </si>
  <si>
    <t xml:space="preserve">(50, 50); far case (50, −100)</t>
  </si>
  <si>
    <t xml:space="preserve">2000 (control 200)</t>
  </si>
  <si>
    <t xml:space="preserve">two-slope, d0 ≈ 87.7 m</t>
  </si>
  <si>
    <t xml:space="preserve">setup every 5 rounds, run to LND</t>
  </si>
  <si>
    <t xml:space="preserve">Published results vs. our reproduction</t>
  </si>
  <si>
    <t xml:space="preserve">Blue = published (paper). "Ours (paper settings)" = code/1_ORIGINAL. "Ours (unified)" = best version in the unified environment (EDITED or IMPROVED). LND diff = |ours − published| ÷ published.</t>
  </si>
  <si>
    <t xml:space="preserve">Pub. FND</t>
  </si>
  <si>
    <t xml:space="preserve">Pub. HND</t>
  </si>
  <si>
    <t xml:space="preserve">Pub. LND</t>
  </si>
  <si>
    <t xml:space="preserve">Pub. PDR</t>
  </si>
  <si>
    <t xml:space="preserve">Published source</t>
  </si>
  <si>
    <t xml:space="preserve">Ours FND (paper settings)</t>
  </si>
  <si>
    <t xml:space="preserve">Ours HND</t>
  </si>
  <si>
    <t xml:space="preserve">Ours LND</t>
  </si>
  <si>
    <t xml:space="preserve">Ours PDR</t>
  </si>
  <si>
    <t xml:space="preserve">FND diff.</t>
  </si>
  <si>
    <t xml:space="preserve">LND diff.</t>
  </si>
  <si>
    <t xml:space="preserve">Unified run</t>
  </si>
  <si>
    <t xml:space="preserve">Unified FND</t>
  </si>
  <si>
    <t xml:space="preserve">Unified LND</t>
  </si>
  <si>
    <t xml:space="preserve">Unified PDR</t>
  </si>
  <si>
    <t xml:space="preserve">v8-Chain FND gain</t>
  </si>
  <si>
    <t xml:space="preserve">n/a</t>
  </si>
  <si>
    <t xml:space="preserve">Table 2 (0.5 J)</t>
  </si>
  <si>
    <t xml:space="preserve">leach_EDITED</t>
  </si>
  <si>
    <t xml:space="preserve">graphs only</t>
  </si>
  <si>
    <t xml:space="preserve">heed_EDITED</t>
  </si>
  <si>
    <t xml:space="preserve">Table 1, 50 × 50 m</t>
  </si>
  <si>
    <t xml:space="preserve">pegasis_EDITED</t>
  </si>
  <si>
    <t xml:space="preserve">shleach_IMPROVED</t>
  </si>
  <si>
    <t xml:space="preserve">Fig. 2 (≈ 4312); LEACH 1778</t>
  </si>
  <si>
    <t xml:space="preserve">hleach_IMPROVED</t>
  </si>
  <si>
    <t xml:space="preserve">Table 7</t>
  </si>
  <si>
    <t xml:space="preserve">eechheed_IMPROVED</t>
  </si>
  <si>
    <t xml:space="preserve">Table 3 (200 nodes): FND 524; ILEACH 936, LEACH 156</t>
  </si>
  <si>
    <t xml:space="preserve">not re-implemented</t>
  </si>
  <si>
    <t xml:space="preserve">up to +60 % lifetime vs HEED</t>
  </si>
  <si>
    <t xml:space="preserve">longer lifetime than LEACH variants</t>
  </si>
  <si>
    <t xml:space="preserve">v8-Chain</t>
  </si>
  <si>
    <t xml:space="preserve">v8_chain_center</t>
  </si>
  <si>
    <t xml:space="preserve">H-LEACH's 4312 comes from a constant energy per round (no radio model); EECH-HEED's paper settings include adaptive sensing and 56 J of energy.</t>
  </si>
  <si>
    <t xml:space="preserve">Key equation of each protocol</t>
  </si>
  <si>
    <t xml:space="preserve">Equation</t>
  </si>
  <si>
    <t xml:space="preserve">Meaning</t>
  </si>
  <si>
    <t xml:space="preserve">T(n) = P / (1 − P·(r mod 1/P)) if n ∈ G, else 0</t>
  </si>
  <si>
    <t xml:space="preserve">Random CH draw with rotation</t>
  </si>
  <si>
    <t xml:space="preserve">LEACH-C / radio</t>
  </si>
  <si>
    <t xml:space="preserve">E_tx = k·E_elec + k·ε_fs·d² (d &lt; d0) ; k·E_elec + k·ε_mp·d⁴ (d ≥ d0) ; E_rx = k·E_elec</t>
  </si>
  <si>
    <t xml:space="preserve">First-order two-slope radio model</t>
  </si>
  <si>
    <t xml:space="preserve">CH_prob = max(C_prob·E_res/E_max, p_min), doubled every iteration</t>
  </si>
  <si>
    <t xml:space="preserve">Iterative energy-based election</t>
  </si>
  <si>
    <t xml:space="preserve">leader(round i) = node (i mod N)</t>
  </si>
  <si>
    <t xml:space="preserve">Rotating chain leader</t>
  </si>
  <si>
    <t xml:space="preserve">CH_prob = C·(E/E_max)·(C·r) / (1 + CH_cho mod 1/C)</t>
  </si>
  <si>
    <t xml:space="preserve">Eq. 3 — r never reset (flaw)</t>
  </si>
  <si>
    <t xml:space="preserve">e0 = P·E/E_max ; t(n) = e0/(1 − e0·(r mod round(1/e0))) ; CH if rand &lt; t(n) and E &gt; E_avg</t>
  </si>
  <si>
    <t xml:space="preserve">Algorithm 1 — deadlock with equal energy</t>
  </si>
  <si>
    <t xml:space="preserve">Zone 1: P = C·E/E_avg ; Zone 2: P = (E/E_max)(D/D_max) ; T = P/(1 − P(r mod 1/P))·α·β</t>
  </si>
  <si>
    <t xml:space="preserve">Eq. 4–6, α = E/E0, β = 1 − d/d_max</t>
  </si>
  <si>
    <t xml:space="preserve">HT = HT0 + λ·dS/dt ; ST = ST0 + μ(1 − E/E0)</t>
  </si>
  <si>
    <t xml:space="preserve">Eq. 7 — adaptive sensing</t>
  </si>
  <si>
    <t xml:space="preserve">P_CH = T(r)·(E/E0)·(1 + deg/deg_max) for E ≥ E_avg ; relay if E_tx(c→j) + E_rx + E_DA &lt; E_tx(c→BS)</t>
  </si>
  <si>
    <t xml:space="preserve">Single-pass score + energy gate + energy-aware relay</t>
  </si>
  <si>
    <t xml:space="preserve">References</t>
  </si>
  <si>
    <t xml:space="preserve">Reference</t>
  </si>
  <si>
    <t xml:space="preserve">W. R. Heinzelman, A. Chandrakasan, H. Balakrishnan, "Energy-Efficient Communication Protocol for Wireless Microsensor Networks," Proc. HICSS-33, 2000.</t>
  </si>
  <si>
    <t xml:space="preserve">W. B. Heinzelman, A. P. Chandrakasan, H. Balakrishnan, "An Application-Specific Protocol Architecture for Wireless Microsensor Networks," IEEE Trans. Wireless Communications, 2002.</t>
  </si>
  <si>
    <t xml:space="preserve">O. Younis, S. Fahmy, "HEED: A Hybrid, Energy-Efficient, Distributed Clustering Approach for Ad Hoc Sensor Networks," IEEE Trans. Mobile Computing, 3(4), 2004.</t>
  </si>
  <si>
    <t xml:space="preserve">S. Lindsey, C. S. Raghavendra, "PEGASIS: Power-Efficient Gathering in Sensor Information Systems," Proc. IEEE Aerospace Conference, 2002.</t>
  </si>
  <si>
    <t xml:space="preserve">S. Shrestha, Y. M. Kim, K. Jung, J.-Y. Lee, "The Improved Energy Efficient LEACH Protocol Technology of Wireless Sensor Networks," IJIBC 7(1):30–35, 2015.</t>
  </si>
  <si>
    <t xml:space="preserve">A. Razaque et al., "H-LEACH: Hybrid-Low Energy Adaptive Clustering Hierarchy for Wireless Sensor Networks," Proc. IEEE LISAT, 2016.</t>
  </si>
  <si>
    <t xml:space="preserve">S. Kaur, S. Kour, M. Singh, "EECH-HEED: an adaptive hybrid clustering protocol for energy efficient soil monitoring in heterogeneous WSNs," Scientific Reports 15, 35548, 2025.</t>
  </si>
  <si>
    <t xml:space="preserve">H. H. El-Sayed, E. M. Abd-Elgaber, S. K. Refaay, "An intelligent reinforcement learning enhanced improved LEACH protocol for prolonging WSN lifetime," Scientific Reports, 2026.</t>
  </si>
  <si>
    <t xml:space="preserve">A. Juwaied, L. Jackowska-Strumillo, "DL-HEED: A Deep Learning Approach to Energy-Efficient Clustering in Heterogeneous WSNs," Applied Sciences 15(16), 8996, 2025.</t>
  </si>
  <si>
    <t xml:space="preserve">S. Subedi, S. K. Acharya, J. Lee, S. Lee, "Two-Level Clustering Algorithm for Cluster Head Selection in Randomly Deployed WSNs," Telecom 5(3), 27, 2024.</t>
  </si>
  <si>
    <t xml:space="preserve">J. Jassbi, S. Moridi, "Fault Tolerance and Energy Efficient Clustering Algorithm in Wireless Sensor Networks: FTEC," Wireless Personal Communications, 2019.</t>
  </si>
  <si>
    <t xml:space="preserve">R. Pachlor, D. Shrimankar, K. K. Nagwanshi, M. Paliwal, "Cluster-Head Rotation Approaches in Sensor Networks: A Review," arXiv:2206.08892, 2022.</t>
  </si>
  <si>
    <t xml:space="preserve">C. Li, M. Ye, G. Chen, J. Wu, "An Energy-Efficient Unequal Clustering Mechanism for Wireless Sensor Networks," Proc. IEEE MASS, 2005.</t>
  </si>
  <si>
    <t xml:space="preserve">V. Chauhan, S. Soni, "Energy Aware Unequal Clustering Algorithm with Multi-hop Routing via Low Degree Relay Nodes for WSNs," J. Ambient Intelligence and Humanized Computing 12, 2021.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</si>
</sst>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#,##0"/>
    <numFmt numFmtId="167" formatCode="0%"/>
    <numFmt numFmtId="168" formatCode="0.00%"/>
    <numFmt numFmtId="169" formatCode="0.0%"/>
    <numFmt numFmtId="170" formatCode="\+0%;\-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F5E5A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FF"/>
        <bgColor rgb="FFF3F6FB"/>
      </patternFill>
    </fill>
    <fill>
      <patternFill patternType="solid">
        <fgColor rgb="FFF3F6FB"/>
        <bgColor rgb="FFFFFFFF"/>
      </patternFill>
    </fill>
    <fill>
      <patternFill patternType="solid">
        <fgColor rgb="FFDCE9FA"/>
        <bgColor rgb="FFD7F2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8D2"/>
      </left>
      <right style="thin">
        <color rgb="FFD9D8D2"/>
      </right>
      <top style="thin">
        <color rgb="FFD9D8D2"/>
      </top>
      <bottom style="thin">
        <color rgb="FFD9D8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B6E4F"/>
      </font>
      <fill>
        <patternFill>
          <bgColor rgb="FFD7F2E6"/>
        </patternFill>
      </fill>
    </dxf>
    <dxf>
      <font>
        <name val="Arial"/>
        <charset val="1"/>
        <family val="0"/>
        <color rgb="FF8A5A00"/>
      </font>
      <fill>
        <patternFill>
          <bgColor rgb="FFFFF1D6"/>
        </patternFill>
      </fill>
    </dxf>
    <dxf>
      <font>
        <name val="Arial"/>
        <charset val="1"/>
        <family val="0"/>
        <color rgb="FFA12B2B"/>
      </font>
      <fill>
        <patternFill>
          <bgColor rgb="FFFDEC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B6E4F"/>
      <rgbColor rgb="FFC0C0C0"/>
      <rgbColor rgb="FF808080"/>
      <rgbColor rgb="FF9999FF"/>
      <rgbColor rgb="FF993366"/>
      <rgbColor rgb="FFFFF1D6"/>
      <rgbColor rgb="FFD7F2E6"/>
      <rgbColor rgb="FF660066"/>
      <rgbColor rgb="FFFF8080"/>
      <rgbColor rgb="FF0066CC"/>
      <rgbColor rgb="FFD9D8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A"/>
      <rgbColor rgb="FFF3F6FB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12B2B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5" min="4" style="0" width="26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8" min="8" style="0" width="46"/>
    <col collapsed="false" customWidth="true" hidden="false" outlineLevel="0" max="9" min="9" style="0" width="30"/>
    <col collapsed="false" customWidth="true" hidden="false" outlineLevel="0" max="10" min="10" style="0" width="42"/>
    <col collapsed="false" customWidth="true" hidden="false" outlineLevel="0" max="11" min="11" style="0" width="34"/>
    <col collapsed="false" customWidth="true" hidden="false" outlineLevel="0" max="12" min="12" style="0" width="26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10</v>
      </c>
    </row>
    <row r="4" customFormat="false" ht="31.5" hidden="false" customHeight="tru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</row>
    <row r="5" customFormat="false" ht="23.85" hidden="false" customHeight="false" outlineLevel="0" collapsed="false">
      <c r="A5" s="5" t="n">
        <v>1</v>
      </c>
      <c r="B5" s="6" t="s">
        <v>24</v>
      </c>
      <c r="C5" s="5" t="n">
        <v>2000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  <c r="L5" s="7" t="s">
        <v>33</v>
      </c>
      <c r="M5" s="7" t="s">
        <v>34</v>
      </c>
    </row>
    <row r="6" customFormat="false" ht="23.85" hidden="false" customHeight="false" outlineLevel="0" collapsed="false">
      <c r="A6" s="8" t="n">
        <v>2</v>
      </c>
      <c r="B6" s="9" t="s">
        <v>35</v>
      </c>
      <c r="C6" s="8" t="n">
        <v>2002</v>
      </c>
      <c r="D6" s="10" t="s">
        <v>25</v>
      </c>
      <c r="E6" s="10" t="s">
        <v>36</v>
      </c>
      <c r="F6" s="10" t="s">
        <v>27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  <c r="M6" s="10" t="s">
        <v>43</v>
      </c>
    </row>
    <row r="7" customFormat="false" ht="23.85" hidden="false" customHeight="false" outlineLevel="0" collapsed="false">
      <c r="A7" s="5" t="n">
        <v>3</v>
      </c>
      <c r="B7" s="6" t="s">
        <v>44</v>
      </c>
      <c r="C7" s="5" t="n">
        <v>2004</v>
      </c>
      <c r="D7" s="7" t="s">
        <v>45</v>
      </c>
      <c r="E7" s="7" t="s">
        <v>46</v>
      </c>
      <c r="F7" s="7" t="s">
        <v>27</v>
      </c>
      <c r="G7" s="7" t="s">
        <v>47</v>
      </c>
      <c r="H7" s="7" t="s">
        <v>48</v>
      </c>
      <c r="I7" s="7" t="s">
        <v>49</v>
      </c>
      <c r="J7" s="7" t="s">
        <v>50</v>
      </c>
      <c r="K7" s="7" t="s">
        <v>51</v>
      </c>
      <c r="L7" s="7" t="s">
        <v>52</v>
      </c>
      <c r="M7" s="7" t="s">
        <v>53</v>
      </c>
    </row>
    <row r="8" customFormat="false" ht="23.85" hidden="false" customHeight="false" outlineLevel="0" collapsed="false">
      <c r="A8" s="8" t="n">
        <v>4</v>
      </c>
      <c r="B8" s="9" t="s">
        <v>54</v>
      </c>
      <c r="C8" s="8" t="n">
        <v>2002</v>
      </c>
      <c r="D8" s="10" t="s">
        <v>55</v>
      </c>
      <c r="E8" s="10" t="s">
        <v>56</v>
      </c>
      <c r="F8" s="10" t="s">
        <v>27</v>
      </c>
      <c r="G8" s="10" t="s">
        <v>57</v>
      </c>
      <c r="H8" s="10" t="s">
        <v>58</v>
      </c>
      <c r="I8" s="10" t="s">
        <v>59</v>
      </c>
      <c r="J8" s="10" t="s">
        <v>60</v>
      </c>
      <c r="K8" s="10" t="s">
        <v>61</v>
      </c>
      <c r="L8" s="10" t="s">
        <v>62</v>
      </c>
      <c r="M8" s="10" t="s">
        <v>63</v>
      </c>
    </row>
    <row r="9" customFormat="false" ht="23.85" hidden="false" customHeight="false" outlineLevel="0" collapsed="false">
      <c r="A9" s="5" t="n">
        <v>5</v>
      </c>
      <c r="B9" s="6" t="s">
        <v>64</v>
      </c>
      <c r="C9" s="5" t="n">
        <v>2015</v>
      </c>
      <c r="D9" s="7" t="s">
        <v>65</v>
      </c>
      <c r="E9" s="7" t="s">
        <v>66</v>
      </c>
      <c r="F9" s="7" t="s">
        <v>67</v>
      </c>
      <c r="G9" s="7" t="s">
        <v>68</v>
      </c>
      <c r="H9" s="7" t="s">
        <v>69</v>
      </c>
      <c r="I9" s="7" t="s">
        <v>70</v>
      </c>
      <c r="J9" s="7" t="s">
        <v>71</v>
      </c>
      <c r="K9" s="7" t="s">
        <v>72</v>
      </c>
      <c r="L9" s="7" t="s">
        <v>73</v>
      </c>
      <c r="M9" s="7" t="s">
        <v>74</v>
      </c>
    </row>
    <row r="10" customFormat="false" ht="23.85" hidden="false" customHeight="false" outlineLevel="0" collapsed="false">
      <c r="A10" s="8" t="n">
        <v>6</v>
      </c>
      <c r="B10" s="9" t="s">
        <v>75</v>
      </c>
      <c r="C10" s="8" t="n">
        <v>2016</v>
      </c>
      <c r="D10" s="10" t="s">
        <v>76</v>
      </c>
      <c r="E10" s="10" t="s">
        <v>77</v>
      </c>
      <c r="F10" s="10" t="s">
        <v>67</v>
      </c>
      <c r="G10" s="10" t="s">
        <v>78</v>
      </c>
      <c r="H10" s="10" t="s">
        <v>79</v>
      </c>
      <c r="I10" s="10" t="s">
        <v>80</v>
      </c>
      <c r="J10" s="10" t="s">
        <v>81</v>
      </c>
      <c r="K10" s="10" t="s">
        <v>82</v>
      </c>
      <c r="L10" s="10" t="s">
        <v>83</v>
      </c>
      <c r="M10" s="10" t="s">
        <v>84</v>
      </c>
    </row>
    <row r="11" customFormat="false" ht="35.05" hidden="false" customHeight="false" outlineLevel="0" collapsed="false">
      <c r="A11" s="5" t="n">
        <v>7</v>
      </c>
      <c r="B11" s="6" t="s">
        <v>85</v>
      </c>
      <c r="C11" s="5" t="n">
        <v>2025</v>
      </c>
      <c r="D11" s="7" t="s">
        <v>86</v>
      </c>
      <c r="E11" s="7" t="s">
        <v>87</v>
      </c>
      <c r="F11" s="7" t="s">
        <v>88</v>
      </c>
      <c r="G11" s="7" t="s">
        <v>89</v>
      </c>
      <c r="H11" s="7" t="s">
        <v>90</v>
      </c>
      <c r="I11" s="7" t="s">
        <v>91</v>
      </c>
      <c r="J11" s="7" t="s">
        <v>92</v>
      </c>
      <c r="K11" s="7" t="s">
        <v>93</v>
      </c>
      <c r="L11" s="7" t="s">
        <v>94</v>
      </c>
      <c r="M11" s="7" t="s">
        <v>95</v>
      </c>
    </row>
    <row r="12" customFormat="false" ht="35.05" hidden="false" customHeight="false" outlineLevel="0" collapsed="false">
      <c r="A12" s="8" t="n">
        <v>8</v>
      </c>
      <c r="B12" s="9" t="s">
        <v>96</v>
      </c>
      <c r="C12" s="8" t="n">
        <v>2026</v>
      </c>
      <c r="D12" s="10" t="s">
        <v>97</v>
      </c>
      <c r="E12" s="10" t="s">
        <v>98</v>
      </c>
      <c r="F12" s="10" t="s">
        <v>99</v>
      </c>
      <c r="G12" s="10" t="s">
        <v>100</v>
      </c>
      <c r="H12" s="10" t="s">
        <v>101</v>
      </c>
      <c r="I12" s="10" t="s">
        <v>102</v>
      </c>
      <c r="J12" s="10" t="s">
        <v>103</v>
      </c>
      <c r="K12" s="10" t="s">
        <v>104</v>
      </c>
      <c r="L12" s="10" t="s">
        <v>105</v>
      </c>
      <c r="M12" s="10" t="s">
        <v>106</v>
      </c>
    </row>
    <row r="13" customFormat="false" ht="23.85" hidden="false" customHeight="false" outlineLevel="0" collapsed="false">
      <c r="A13" s="5" t="n">
        <v>9</v>
      </c>
      <c r="B13" s="6" t="s">
        <v>107</v>
      </c>
      <c r="C13" s="5" t="n">
        <v>2025</v>
      </c>
      <c r="D13" s="7" t="s">
        <v>108</v>
      </c>
      <c r="E13" s="7" t="s">
        <v>109</v>
      </c>
      <c r="F13" s="7" t="s">
        <v>99</v>
      </c>
      <c r="G13" s="7" t="s">
        <v>110</v>
      </c>
      <c r="H13" s="7" t="s">
        <v>111</v>
      </c>
      <c r="I13" s="7" t="s">
        <v>112</v>
      </c>
      <c r="J13" s="7" t="s">
        <v>113</v>
      </c>
      <c r="K13" s="7" t="s">
        <v>114</v>
      </c>
      <c r="L13" s="7" t="s">
        <v>105</v>
      </c>
      <c r="M13" s="7" t="s">
        <v>115</v>
      </c>
    </row>
    <row r="14" customFormat="false" ht="23.85" hidden="false" customHeight="false" outlineLevel="0" collapsed="false">
      <c r="A14" s="8" t="n">
        <v>10</v>
      </c>
      <c r="B14" s="9" t="s">
        <v>116</v>
      </c>
      <c r="C14" s="8" t="n">
        <v>2024</v>
      </c>
      <c r="D14" s="10" t="s">
        <v>117</v>
      </c>
      <c r="E14" s="10" t="s">
        <v>118</v>
      </c>
      <c r="F14" s="10" t="s">
        <v>119</v>
      </c>
      <c r="G14" s="10" t="s">
        <v>120</v>
      </c>
      <c r="H14" s="10" t="s">
        <v>121</v>
      </c>
      <c r="I14" s="10" t="s">
        <v>122</v>
      </c>
      <c r="J14" s="10" t="s">
        <v>123</v>
      </c>
      <c r="K14" s="10" t="s">
        <v>124</v>
      </c>
      <c r="L14" s="10" t="s">
        <v>105</v>
      </c>
      <c r="M14" s="10" t="s">
        <v>125</v>
      </c>
    </row>
    <row r="15" customFormat="false" ht="23.85" hidden="false" customHeight="false" outlineLevel="0" collapsed="false">
      <c r="A15" s="5" t="n">
        <v>11</v>
      </c>
      <c r="B15" s="6" t="s">
        <v>126</v>
      </c>
      <c r="C15" s="5" t="n">
        <v>2019</v>
      </c>
      <c r="D15" s="7" t="s">
        <v>127</v>
      </c>
      <c r="E15" s="7" t="s">
        <v>128</v>
      </c>
      <c r="F15" s="7" t="s">
        <v>129</v>
      </c>
      <c r="G15" s="7" t="s">
        <v>130</v>
      </c>
      <c r="H15" s="7" t="s">
        <v>131</v>
      </c>
      <c r="I15" s="7" t="s">
        <v>132</v>
      </c>
      <c r="J15" s="7" t="s">
        <v>133</v>
      </c>
      <c r="K15" s="7" t="s">
        <v>134</v>
      </c>
      <c r="L15" s="7" t="s">
        <v>135</v>
      </c>
      <c r="M15" s="7" t="s">
        <v>136</v>
      </c>
    </row>
    <row r="16" customFormat="false" ht="23.85" hidden="false" customHeight="false" outlineLevel="0" collapsed="false">
      <c r="A16" s="8" t="n">
        <v>12</v>
      </c>
      <c r="B16" s="9" t="s">
        <v>137</v>
      </c>
      <c r="C16" s="8" t="n">
        <v>2022</v>
      </c>
      <c r="D16" s="10" t="s">
        <v>138</v>
      </c>
      <c r="E16" s="10" t="s">
        <v>139</v>
      </c>
      <c r="F16" s="10" t="s">
        <v>140</v>
      </c>
      <c r="G16" s="10" t="s">
        <v>141</v>
      </c>
      <c r="H16" s="10" t="s">
        <v>142</v>
      </c>
      <c r="I16" s="10" t="s">
        <v>143</v>
      </c>
      <c r="J16" s="10" t="s">
        <v>144</v>
      </c>
      <c r="K16" s="10" t="s">
        <v>145</v>
      </c>
      <c r="L16" s="10" t="s">
        <v>135</v>
      </c>
      <c r="M16" s="10" t="s">
        <v>146</v>
      </c>
    </row>
    <row r="17" customFormat="false" ht="15" hidden="false" customHeight="false" outlineLevel="0" collapsed="false">
      <c r="A17" s="5" t="n">
        <v>13</v>
      </c>
      <c r="B17" s="6" t="s">
        <v>147</v>
      </c>
      <c r="C17" s="5" t="n">
        <v>2005</v>
      </c>
      <c r="D17" s="7" t="s">
        <v>148</v>
      </c>
      <c r="E17" s="7" t="s">
        <v>149</v>
      </c>
      <c r="F17" s="7" t="s">
        <v>150</v>
      </c>
      <c r="G17" s="7" t="s">
        <v>151</v>
      </c>
      <c r="H17" s="7" t="s">
        <v>152</v>
      </c>
      <c r="I17" s="7" t="s">
        <v>153</v>
      </c>
      <c r="J17" s="7" t="s">
        <v>154</v>
      </c>
      <c r="K17" s="7" t="s">
        <v>155</v>
      </c>
      <c r="L17" s="7" t="s">
        <v>135</v>
      </c>
      <c r="M17" s="7" t="s">
        <v>136</v>
      </c>
    </row>
    <row r="18" customFormat="false" ht="23.85" hidden="false" customHeight="false" outlineLevel="0" collapsed="false">
      <c r="A18" s="8" t="n">
        <v>14</v>
      </c>
      <c r="B18" s="9" t="s">
        <v>156</v>
      </c>
      <c r="C18" s="8" t="n">
        <v>2021</v>
      </c>
      <c r="D18" s="10" t="s">
        <v>157</v>
      </c>
      <c r="E18" s="10" t="s">
        <v>158</v>
      </c>
      <c r="F18" s="10" t="s">
        <v>159</v>
      </c>
      <c r="G18" s="10" t="s">
        <v>160</v>
      </c>
      <c r="H18" s="10" t="s">
        <v>161</v>
      </c>
      <c r="I18" s="10" t="s">
        <v>162</v>
      </c>
      <c r="J18" s="10" t="s">
        <v>163</v>
      </c>
      <c r="K18" s="10" t="s">
        <v>164</v>
      </c>
      <c r="L18" s="10" t="s">
        <v>135</v>
      </c>
      <c r="M18" s="10" t="s">
        <v>136</v>
      </c>
    </row>
    <row r="19" customFormat="false" ht="46.25" hidden="false" customHeight="false" outlineLevel="0" collapsed="false">
      <c r="A19" s="11" t="s">
        <v>136</v>
      </c>
      <c r="B19" s="12" t="s">
        <v>165</v>
      </c>
      <c r="C19" s="11" t="n">
        <v>2026</v>
      </c>
      <c r="D19" s="13" t="s">
        <v>166</v>
      </c>
      <c r="E19" s="13" t="s">
        <v>167</v>
      </c>
      <c r="F19" s="13" t="s">
        <v>168</v>
      </c>
      <c r="G19" s="13" t="s">
        <v>169</v>
      </c>
      <c r="H19" s="13" t="s">
        <v>170</v>
      </c>
      <c r="I19" s="13" t="s">
        <v>171</v>
      </c>
      <c r="J19" s="13" t="s">
        <v>172</v>
      </c>
      <c r="K19" s="13" t="s">
        <v>136</v>
      </c>
      <c r="L19" s="13" t="s">
        <v>173</v>
      </c>
      <c r="M19" s="13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14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14" t="s">
        <v>176</v>
      </c>
    </row>
    <row r="4" customFormat="false" ht="45" hidden="false" customHeight="true" outlineLevel="0" collapsed="false">
      <c r="A4" s="4" t="s">
        <v>12</v>
      </c>
      <c r="B4" s="4" t="s">
        <v>177</v>
      </c>
      <c r="C4" s="4" t="s">
        <v>178</v>
      </c>
      <c r="D4" s="4" t="s">
        <v>179</v>
      </c>
      <c r="E4" s="4" t="s">
        <v>180</v>
      </c>
      <c r="F4" s="4" t="s">
        <v>181</v>
      </c>
      <c r="G4" s="4" t="s">
        <v>182</v>
      </c>
      <c r="H4" s="4" t="s">
        <v>183</v>
      </c>
      <c r="I4" s="4" t="s">
        <v>184</v>
      </c>
      <c r="J4" s="4" t="s">
        <v>185</v>
      </c>
      <c r="K4" s="4" t="s">
        <v>186</v>
      </c>
      <c r="L4" s="4" t="s">
        <v>187</v>
      </c>
    </row>
    <row r="5" customFormat="false" ht="15" hidden="false" customHeight="false" outlineLevel="0" collapsed="false">
      <c r="A5" s="6" t="s">
        <v>24</v>
      </c>
      <c r="B5" s="5" t="s">
        <v>188</v>
      </c>
      <c r="C5" s="5" t="s">
        <v>189</v>
      </c>
      <c r="D5" s="5" t="s">
        <v>189</v>
      </c>
      <c r="E5" s="5" t="s">
        <v>190</v>
      </c>
      <c r="F5" s="5" t="s">
        <v>188</v>
      </c>
      <c r="G5" s="5" t="s">
        <v>188</v>
      </c>
      <c r="H5" s="5" t="s">
        <v>188</v>
      </c>
      <c r="I5" s="5" t="s">
        <v>188</v>
      </c>
      <c r="J5" s="5" t="s">
        <v>188</v>
      </c>
      <c r="K5" s="5" t="s">
        <v>188</v>
      </c>
      <c r="L5" s="5" t="n">
        <f aca="false">COUNTIF(B5:K5,"Yes")</f>
        <v>2</v>
      </c>
    </row>
    <row r="6" customFormat="false" ht="15" hidden="false" customHeight="false" outlineLevel="0" collapsed="false">
      <c r="A6" s="9" t="s">
        <v>35</v>
      </c>
      <c r="B6" s="8" t="s">
        <v>189</v>
      </c>
      <c r="C6" s="8" t="s">
        <v>188</v>
      </c>
      <c r="D6" s="8" t="s">
        <v>188</v>
      </c>
      <c r="E6" s="8" t="s">
        <v>190</v>
      </c>
      <c r="F6" s="8" t="s">
        <v>188</v>
      </c>
      <c r="G6" s="8" t="s">
        <v>188</v>
      </c>
      <c r="H6" s="8" t="s">
        <v>188</v>
      </c>
      <c r="I6" s="8" t="s">
        <v>188</v>
      </c>
      <c r="J6" s="8" t="s">
        <v>188</v>
      </c>
      <c r="K6" s="8" t="s">
        <v>188</v>
      </c>
      <c r="L6" s="8" t="n">
        <f aca="false">COUNTIF(B6:K6,"Yes")</f>
        <v>1</v>
      </c>
    </row>
    <row r="7" customFormat="false" ht="15" hidden="false" customHeight="false" outlineLevel="0" collapsed="false">
      <c r="A7" s="6" t="s">
        <v>44</v>
      </c>
      <c r="B7" s="5" t="s">
        <v>189</v>
      </c>
      <c r="C7" s="5" t="s">
        <v>189</v>
      </c>
      <c r="D7" s="5" t="s">
        <v>188</v>
      </c>
      <c r="E7" s="5" t="s">
        <v>188</v>
      </c>
      <c r="F7" s="5" t="s">
        <v>188</v>
      </c>
      <c r="G7" s="5" t="s">
        <v>190</v>
      </c>
      <c r="H7" s="5" t="s">
        <v>188</v>
      </c>
      <c r="I7" s="5" t="s">
        <v>188</v>
      </c>
      <c r="J7" s="5" t="s">
        <v>188</v>
      </c>
      <c r="K7" s="5" t="s">
        <v>188</v>
      </c>
      <c r="L7" s="5" t="n">
        <f aca="false">COUNTIF(B7:K7,"Yes")</f>
        <v>2</v>
      </c>
    </row>
    <row r="8" customFormat="false" ht="15" hidden="false" customHeight="false" outlineLevel="0" collapsed="false">
      <c r="A8" s="9" t="s">
        <v>54</v>
      </c>
      <c r="B8" s="8" t="s">
        <v>188</v>
      </c>
      <c r="C8" s="8" t="s">
        <v>190</v>
      </c>
      <c r="D8" s="8" t="s">
        <v>189</v>
      </c>
      <c r="E8" s="8" t="s">
        <v>189</v>
      </c>
      <c r="F8" s="8" t="s">
        <v>188</v>
      </c>
      <c r="G8" s="8" t="s">
        <v>189</v>
      </c>
      <c r="H8" s="8" t="s">
        <v>188</v>
      </c>
      <c r="I8" s="8" t="s">
        <v>188</v>
      </c>
      <c r="J8" s="8" t="s">
        <v>188</v>
      </c>
      <c r="K8" s="8" t="s">
        <v>188</v>
      </c>
      <c r="L8" s="8" t="n">
        <f aca="false">COUNTIF(B8:K8,"Yes")</f>
        <v>3</v>
      </c>
    </row>
    <row r="9" customFormat="false" ht="15" hidden="false" customHeight="false" outlineLevel="0" collapsed="false">
      <c r="A9" s="6" t="s">
        <v>64</v>
      </c>
      <c r="B9" s="5" t="s">
        <v>189</v>
      </c>
      <c r="C9" s="5" t="s">
        <v>189</v>
      </c>
      <c r="D9" s="5" t="s">
        <v>189</v>
      </c>
      <c r="E9" s="5" t="s">
        <v>188</v>
      </c>
      <c r="F9" s="5" t="s">
        <v>188</v>
      </c>
      <c r="G9" s="5" t="s">
        <v>188</v>
      </c>
      <c r="H9" s="5" t="s">
        <v>188</v>
      </c>
      <c r="I9" s="5" t="s">
        <v>188</v>
      </c>
      <c r="J9" s="5" t="s">
        <v>188</v>
      </c>
      <c r="K9" s="5" t="s">
        <v>188</v>
      </c>
      <c r="L9" s="5" t="n">
        <f aca="false">COUNTIF(B9:K9,"Yes")</f>
        <v>3</v>
      </c>
    </row>
    <row r="10" customFormat="false" ht="15" hidden="false" customHeight="false" outlineLevel="0" collapsed="false">
      <c r="A10" s="9" t="s">
        <v>75</v>
      </c>
      <c r="B10" s="8" t="s">
        <v>189</v>
      </c>
      <c r="C10" s="8" t="s">
        <v>190</v>
      </c>
      <c r="D10" s="8" t="s">
        <v>189</v>
      </c>
      <c r="E10" s="8" t="s">
        <v>188</v>
      </c>
      <c r="F10" s="8" t="s">
        <v>188</v>
      </c>
      <c r="G10" s="8" t="s">
        <v>188</v>
      </c>
      <c r="H10" s="8" t="s">
        <v>188</v>
      </c>
      <c r="I10" s="8" t="s">
        <v>188</v>
      </c>
      <c r="J10" s="8" t="s">
        <v>188</v>
      </c>
      <c r="K10" s="8" t="s">
        <v>188</v>
      </c>
      <c r="L10" s="8" t="n">
        <f aca="false">COUNTIF(B10:K10,"Yes")</f>
        <v>2</v>
      </c>
    </row>
    <row r="11" customFormat="false" ht="15" hidden="false" customHeight="false" outlineLevel="0" collapsed="false">
      <c r="A11" s="6" t="s">
        <v>85</v>
      </c>
      <c r="B11" s="5" t="s">
        <v>189</v>
      </c>
      <c r="C11" s="5" t="s">
        <v>189</v>
      </c>
      <c r="D11" s="5" t="s">
        <v>189</v>
      </c>
      <c r="E11" s="5" t="s">
        <v>188</v>
      </c>
      <c r="F11" s="5" t="s">
        <v>188</v>
      </c>
      <c r="G11" s="5" t="s">
        <v>189</v>
      </c>
      <c r="H11" s="5" t="s">
        <v>188</v>
      </c>
      <c r="I11" s="5" t="s">
        <v>189</v>
      </c>
      <c r="J11" s="5" t="s">
        <v>189</v>
      </c>
      <c r="K11" s="5" t="s">
        <v>188</v>
      </c>
      <c r="L11" s="5" t="n">
        <f aca="false">COUNTIF(B11:K11,"Yes")</f>
        <v>6</v>
      </c>
    </row>
    <row r="12" customFormat="false" ht="15" hidden="false" customHeight="false" outlineLevel="0" collapsed="false">
      <c r="A12" s="9" t="s">
        <v>96</v>
      </c>
      <c r="B12" s="8" t="s">
        <v>189</v>
      </c>
      <c r="C12" s="8" t="s">
        <v>190</v>
      </c>
      <c r="D12" s="8" t="s">
        <v>188</v>
      </c>
      <c r="E12" s="8" t="s">
        <v>188</v>
      </c>
      <c r="F12" s="8" t="s">
        <v>188</v>
      </c>
      <c r="G12" s="8" t="s">
        <v>188</v>
      </c>
      <c r="H12" s="8" t="s">
        <v>188</v>
      </c>
      <c r="I12" s="8" t="s">
        <v>188</v>
      </c>
      <c r="J12" s="8" t="s">
        <v>188</v>
      </c>
      <c r="K12" s="8" t="s">
        <v>189</v>
      </c>
      <c r="L12" s="8" t="n">
        <f aca="false">COUNTIF(B12:K12,"Yes")</f>
        <v>2</v>
      </c>
    </row>
    <row r="13" customFormat="false" ht="15" hidden="false" customHeight="false" outlineLevel="0" collapsed="false">
      <c r="A13" s="6" t="s">
        <v>107</v>
      </c>
      <c r="B13" s="5" t="s">
        <v>189</v>
      </c>
      <c r="C13" s="5" t="s">
        <v>190</v>
      </c>
      <c r="D13" s="5" t="s">
        <v>188</v>
      </c>
      <c r="E13" s="5" t="s">
        <v>188</v>
      </c>
      <c r="F13" s="5" t="s">
        <v>188</v>
      </c>
      <c r="G13" s="5" t="s">
        <v>190</v>
      </c>
      <c r="H13" s="5" t="s">
        <v>188</v>
      </c>
      <c r="I13" s="5" t="s">
        <v>189</v>
      </c>
      <c r="J13" s="5" t="s">
        <v>188</v>
      </c>
      <c r="K13" s="5" t="s">
        <v>189</v>
      </c>
      <c r="L13" s="5" t="n">
        <f aca="false">COUNTIF(B13:K13,"Yes")</f>
        <v>3</v>
      </c>
    </row>
    <row r="14" customFormat="false" ht="15" hidden="false" customHeight="false" outlineLevel="0" collapsed="false">
      <c r="A14" s="9" t="s">
        <v>116</v>
      </c>
      <c r="B14" s="8" t="s">
        <v>190</v>
      </c>
      <c r="C14" s="8" t="s">
        <v>189</v>
      </c>
      <c r="D14" s="8" t="s">
        <v>189</v>
      </c>
      <c r="E14" s="8" t="s">
        <v>188</v>
      </c>
      <c r="F14" s="8" t="s">
        <v>188</v>
      </c>
      <c r="G14" s="8" t="s">
        <v>188</v>
      </c>
      <c r="H14" s="8" t="s">
        <v>188</v>
      </c>
      <c r="I14" s="8" t="s">
        <v>188</v>
      </c>
      <c r="J14" s="8" t="s">
        <v>188</v>
      </c>
      <c r="K14" s="8" t="s">
        <v>188</v>
      </c>
      <c r="L14" s="8" t="n">
        <f aca="false">COUNTIF(B14:K14,"Yes")</f>
        <v>2</v>
      </c>
    </row>
    <row r="15" customFormat="false" ht="15" hidden="false" customHeight="false" outlineLevel="0" collapsed="false">
      <c r="A15" s="6" t="s">
        <v>126</v>
      </c>
      <c r="B15" s="5" t="s">
        <v>189</v>
      </c>
      <c r="C15" s="5" t="s">
        <v>189</v>
      </c>
      <c r="D15" s="5" t="s">
        <v>190</v>
      </c>
      <c r="E15" s="5" t="s">
        <v>188</v>
      </c>
      <c r="F15" s="5" t="s">
        <v>189</v>
      </c>
      <c r="G15" s="5" t="s">
        <v>190</v>
      </c>
      <c r="H15" s="5" t="s">
        <v>188</v>
      </c>
      <c r="I15" s="5" t="s">
        <v>188</v>
      </c>
      <c r="J15" s="5" t="s">
        <v>188</v>
      </c>
      <c r="K15" s="5" t="s">
        <v>188</v>
      </c>
      <c r="L15" s="5" t="n">
        <f aca="false">COUNTIF(B15:K15,"Yes")</f>
        <v>3</v>
      </c>
    </row>
    <row r="16" customFormat="false" ht="15" hidden="false" customHeight="false" outlineLevel="0" collapsed="false">
      <c r="A16" s="9" t="s">
        <v>147</v>
      </c>
      <c r="B16" s="8" t="s">
        <v>189</v>
      </c>
      <c r="C16" s="8" t="s">
        <v>189</v>
      </c>
      <c r="D16" s="8" t="s">
        <v>190</v>
      </c>
      <c r="E16" s="8" t="s">
        <v>188</v>
      </c>
      <c r="F16" s="8" t="s">
        <v>188</v>
      </c>
      <c r="G16" s="8" t="s">
        <v>189</v>
      </c>
      <c r="H16" s="8" t="s">
        <v>190</v>
      </c>
      <c r="I16" s="8" t="s">
        <v>188</v>
      </c>
      <c r="J16" s="8" t="s">
        <v>188</v>
      </c>
      <c r="K16" s="8" t="s">
        <v>188</v>
      </c>
      <c r="L16" s="8" t="n">
        <f aca="false">COUNTIF(B16:K16,"Yes")</f>
        <v>3</v>
      </c>
    </row>
    <row r="17" customFormat="false" ht="15" hidden="false" customHeight="false" outlineLevel="0" collapsed="false">
      <c r="A17" s="6" t="s">
        <v>156</v>
      </c>
      <c r="B17" s="5" t="s">
        <v>189</v>
      </c>
      <c r="C17" s="5" t="s">
        <v>189</v>
      </c>
      <c r="D17" s="5" t="s">
        <v>190</v>
      </c>
      <c r="E17" s="5" t="s">
        <v>188</v>
      </c>
      <c r="F17" s="5" t="s">
        <v>188</v>
      </c>
      <c r="G17" s="5" t="s">
        <v>189</v>
      </c>
      <c r="H17" s="5" t="s">
        <v>189</v>
      </c>
      <c r="I17" s="5" t="s">
        <v>188</v>
      </c>
      <c r="J17" s="5" t="s">
        <v>188</v>
      </c>
      <c r="K17" s="5" t="s">
        <v>188</v>
      </c>
      <c r="L17" s="5" t="n">
        <f aca="false">COUNTIF(B17:K17,"Yes")</f>
        <v>4</v>
      </c>
    </row>
    <row r="18" customFormat="false" ht="15" hidden="false" customHeight="false" outlineLevel="0" collapsed="false">
      <c r="A18" s="12" t="s">
        <v>165</v>
      </c>
      <c r="B18" s="11" t="s">
        <v>189</v>
      </c>
      <c r="C18" s="11" t="s">
        <v>190</v>
      </c>
      <c r="D18" s="11" t="s">
        <v>189</v>
      </c>
      <c r="E18" s="11" t="s">
        <v>189</v>
      </c>
      <c r="F18" s="11" t="s">
        <v>189</v>
      </c>
      <c r="G18" s="11" t="s">
        <v>189</v>
      </c>
      <c r="H18" s="11" t="s">
        <v>189</v>
      </c>
      <c r="I18" s="11" t="s">
        <v>188</v>
      </c>
      <c r="J18" s="11" t="s">
        <v>188</v>
      </c>
      <c r="K18" s="11" t="s">
        <v>188</v>
      </c>
      <c r="L18" s="11" t="n">
        <f aca="false">COUNTIF(B18:K18,"Yes")</f>
        <v>6</v>
      </c>
    </row>
    <row r="19" customFormat="false" ht="15" hidden="false" customHeight="false" outlineLevel="0" collapsed="false">
      <c r="A19" s="6" t="s">
        <v>191</v>
      </c>
      <c r="B19" s="15" t="n">
        <f aca="false">COUNTIF(B5:B17,"Yes")</f>
        <v>10</v>
      </c>
      <c r="C19" s="15" t="n">
        <f aca="false">COUNTIF(C5:C17,"Yes")</f>
        <v>8</v>
      </c>
      <c r="D19" s="15" t="n">
        <f aca="false">COUNTIF(D5:D17,"Yes")</f>
        <v>6</v>
      </c>
      <c r="E19" s="15" t="n">
        <f aca="false">COUNTIF(E5:E17,"Yes")</f>
        <v>1</v>
      </c>
      <c r="F19" s="15" t="n">
        <f aca="false">COUNTIF(F5:F17,"Yes")</f>
        <v>1</v>
      </c>
      <c r="G19" s="15" t="n">
        <f aca="false">COUNTIF(G5:G17,"Yes")</f>
        <v>4</v>
      </c>
      <c r="H19" s="15" t="n">
        <f aca="false">COUNTIF(H5:H17,"Yes")</f>
        <v>1</v>
      </c>
      <c r="I19" s="15" t="n">
        <f aca="false">COUNTIF(I5:I17,"Yes")</f>
        <v>2</v>
      </c>
      <c r="J19" s="15" t="n">
        <f aca="false">COUNTIF(J5:J17,"Yes")</f>
        <v>1</v>
      </c>
      <c r="K19" s="15" t="n">
        <f aca="false">COUNTIF(K5:K17,"Yes")</f>
        <v>2</v>
      </c>
    </row>
    <row r="21" customFormat="false" ht="15" hidden="false" customHeight="false" outlineLevel="0" collapsed="false">
      <c r="A21" s="3" t="s">
        <v>192</v>
      </c>
    </row>
  </sheetData>
  <conditionalFormatting sqref="B5:K18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"Partly"</formula>
    </cfRule>
    <cfRule type="cellIs" priority="4" operator="equal" aboveAverage="0" equalAverage="0" bottom="0" percent="0" rank="0" text="" dxfId="2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38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14" t="s">
        <v>194</v>
      </c>
    </row>
    <row r="4" customFormat="false" ht="31.5" hidden="false" customHeight="true" outlineLevel="0" collapsed="false">
      <c r="A4" s="4" t="s">
        <v>12</v>
      </c>
      <c r="B4" s="4" t="s">
        <v>195</v>
      </c>
      <c r="C4" s="4" t="s">
        <v>196</v>
      </c>
      <c r="D4" s="4" t="s">
        <v>197</v>
      </c>
      <c r="E4" s="4" t="s">
        <v>198</v>
      </c>
      <c r="F4" s="4" t="s">
        <v>199</v>
      </c>
      <c r="G4" s="4" t="s">
        <v>200</v>
      </c>
      <c r="H4" s="4" t="s">
        <v>201</v>
      </c>
      <c r="I4" s="4" t="s">
        <v>202</v>
      </c>
      <c r="J4" s="4" t="s">
        <v>203</v>
      </c>
    </row>
    <row r="5" customFormat="false" ht="15" hidden="false" customHeight="false" outlineLevel="0" collapsed="false">
      <c r="A5" s="6" t="s">
        <v>24</v>
      </c>
      <c r="B5" s="7" t="s">
        <v>204</v>
      </c>
      <c r="C5" s="7" t="s">
        <v>205</v>
      </c>
      <c r="D5" s="7" t="s">
        <v>206</v>
      </c>
      <c r="E5" s="7" t="s">
        <v>207</v>
      </c>
      <c r="F5" s="7" t="s">
        <v>208</v>
      </c>
      <c r="G5" s="7" t="s">
        <v>209</v>
      </c>
      <c r="H5" s="7" t="s">
        <v>210</v>
      </c>
      <c r="I5" s="7" t="s">
        <v>211</v>
      </c>
      <c r="J5" s="7" t="s">
        <v>212</v>
      </c>
    </row>
    <row r="6" customFormat="false" ht="15" hidden="false" customHeight="false" outlineLevel="0" collapsed="false">
      <c r="A6" s="9" t="s">
        <v>35</v>
      </c>
      <c r="B6" s="10" t="s">
        <v>213</v>
      </c>
      <c r="C6" s="10" t="s">
        <v>205</v>
      </c>
      <c r="D6" s="10" t="s">
        <v>214</v>
      </c>
      <c r="E6" s="10" t="s">
        <v>215</v>
      </c>
      <c r="F6" s="10" t="s">
        <v>136</v>
      </c>
      <c r="G6" s="10" t="s">
        <v>136</v>
      </c>
      <c r="H6" s="10" t="s">
        <v>216</v>
      </c>
      <c r="I6" s="10" t="s">
        <v>211</v>
      </c>
      <c r="J6" s="10" t="s">
        <v>217</v>
      </c>
    </row>
    <row r="7" customFormat="false" ht="23.85" hidden="false" customHeight="false" outlineLevel="0" collapsed="false">
      <c r="A7" s="6" t="s">
        <v>44</v>
      </c>
      <c r="B7" s="7" t="s">
        <v>204</v>
      </c>
      <c r="C7" s="7" t="s">
        <v>218</v>
      </c>
      <c r="D7" s="7" t="s">
        <v>214</v>
      </c>
      <c r="E7" s="7" t="s">
        <v>215</v>
      </c>
      <c r="F7" s="7" t="s">
        <v>219</v>
      </c>
      <c r="G7" s="7" t="s">
        <v>220</v>
      </c>
      <c r="H7" s="7" t="s">
        <v>221</v>
      </c>
      <c r="I7" s="7" t="s">
        <v>211</v>
      </c>
      <c r="J7" s="7" t="s">
        <v>222</v>
      </c>
    </row>
    <row r="8" customFormat="false" ht="23.85" hidden="false" customHeight="false" outlineLevel="0" collapsed="false">
      <c r="A8" s="9" t="s">
        <v>54</v>
      </c>
      <c r="B8" s="10" t="s">
        <v>204</v>
      </c>
      <c r="C8" s="10" t="s">
        <v>205</v>
      </c>
      <c r="D8" s="10" t="s">
        <v>223</v>
      </c>
      <c r="E8" s="10" t="s">
        <v>224</v>
      </c>
      <c r="F8" s="10" t="s">
        <v>225</v>
      </c>
      <c r="G8" s="10" t="s">
        <v>209</v>
      </c>
      <c r="H8" s="10" t="s">
        <v>210</v>
      </c>
      <c r="I8" s="10" t="s">
        <v>211</v>
      </c>
      <c r="J8" s="10" t="s">
        <v>226</v>
      </c>
    </row>
    <row r="9" customFormat="false" ht="23.85" hidden="false" customHeight="false" outlineLevel="0" collapsed="false">
      <c r="A9" s="6" t="s">
        <v>64</v>
      </c>
      <c r="B9" s="7" t="s">
        <v>227</v>
      </c>
      <c r="C9" s="7" t="s">
        <v>205</v>
      </c>
      <c r="D9" s="7" t="s">
        <v>214</v>
      </c>
      <c r="E9" s="7" t="s">
        <v>228</v>
      </c>
      <c r="F9" s="7" t="s">
        <v>225</v>
      </c>
      <c r="G9" s="7" t="s">
        <v>229</v>
      </c>
      <c r="H9" s="7" t="s">
        <v>210</v>
      </c>
      <c r="I9" s="7" t="s">
        <v>230</v>
      </c>
      <c r="J9" s="7" t="s">
        <v>231</v>
      </c>
    </row>
    <row r="10" customFormat="false" ht="15" hidden="false" customHeight="false" outlineLevel="0" collapsed="false">
      <c r="A10" s="9" t="s">
        <v>75</v>
      </c>
      <c r="B10" s="10" t="s">
        <v>227</v>
      </c>
      <c r="C10" s="10" t="s">
        <v>205</v>
      </c>
      <c r="D10" s="10" t="s">
        <v>214</v>
      </c>
      <c r="E10" s="10" t="s">
        <v>232</v>
      </c>
      <c r="F10" s="10" t="s">
        <v>225</v>
      </c>
      <c r="G10" s="10" t="s">
        <v>233</v>
      </c>
      <c r="H10" s="10" t="s">
        <v>234</v>
      </c>
      <c r="I10" s="10" t="s">
        <v>211</v>
      </c>
      <c r="J10" s="10" t="s">
        <v>235</v>
      </c>
    </row>
    <row r="11" customFormat="false" ht="23.85" hidden="false" customHeight="false" outlineLevel="0" collapsed="false">
      <c r="A11" s="6" t="s">
        <v>85</v>
      </c>
      <c r="B11" s="7" t="s">
        <v>236</v>
      </c>
      <c r="C11" s="7" t="s">
        <v>237</v>
      </c>
      <c r="D11" s="7" t="s">
        <v>214</v>
      </c>
      <c r="E11" s="7" t="s">
        <v>232</v>
      </c>
      <c r="F11" s="7" t="s">
        <v>238</v>
      </c>
      <c r="G11" s="7" t="s">
        <v>233</v>
      </c>
      <c r="H11" s="7" t="s">
        <v>239</v>
      </c>
      <c r="I11" s="7" t="s">
        <v>240</v>
      </c>
      <c r="J11" s="7" t="s">
        <v>241</v>
      </c>
    </row>
    <row r="12" customFormat="false" ht="15" hidden="false" customHeight="false" outlineLevel="0" collapsed="false">
      <c r="A12" s="9" t="s">
        <v>96</v>
      </c>
      <c r="B12" s="10" t="s">
        <v>227</v>
      </c>
      <c r="C12" s="10" t="s">
        <v>242</v>
      </c>
      <c r="D12" s="10" t="s">
        <v>204</v>
      </c>
      <c r="E12" s="10" t="s">
        <v>204</v>
      </c>
      <c r="F12" s="10" t="s">
        <v>204</v>
      </c>
      <c r="G12" s="10" t="s">
        <v>204</v>
      </c>
      <c r="H12" s="10" t="s">
        <v>243</v>
      </c>
      <c r="I12" s="10" t="s">
        <v>204</v>
      </c>
      <c r="J12" s="10" t="s">
        <v>244</v>
      </c>
    </row>
    <row r="13" customFormat="false" ht="15" hidden="false" customHeight="false" outlineLevel="0" collapsed="false">
      <c r="A13" s="6" t="s">
        <v>107</v>
      </c>
      <c r="B13" s="7" t="s">
        <v>204</v>
      </c>
      <c r="C13" s="7" t="s">
        <v>245</v>
      </c>
      <c r="D13" s="7" t="s">
        <v>204</v>
      </c>
      <c r="E13" s="7" t="s">
        <v>204</v>
      </c>
      <c r="F13" s="7" t="s">
        <v>246</v>
      </c>
      <c r="G13" s="7" t="s">
        <v>204</v>
      </c>
      <c r="H13" s="7" t="s">
        <v>243</v>
      </c>
      <c r="I13" s="7" t="s">
        <v>204</v>
      </c>
      <c r="J13" s="7" t="s">
        <v>247</v>
      </c>
    </row>
    <row r="14" customFormat="false" ht="15" hidden="false" customHeight="false" outlineLevel="0" collapsed="false">
      <c r="A14" s="9" t="s">
        <v>116</v>
      </c>
      <c r="B14" s="10" t="s">
        <v>204</v>
      </c>
      <c r="C14" s="10" t="s">
        <v>248</v>
      </c>
      <c r="D14" s="10" t="s">
        <v>204</v>
      </c>
      <c r="E14" s="10" t="s">
        <v>204</v>
      </c>
      <c r="F14" s="10" t="s">
        <v>204</v>
      </c>
      <c r="G14" s="10" t="s">
        <v>204</v>
      </c>
      <c r="H14" s="10" t="s">
        <v>243</v>
      </c>
      <c r="I14" s="10" t="s">
        <v>204</v>
      </c>
      <c r="J14" s="10" t="s">
        <v>249</v>
      </c>
    </row>
    <row r="15" customFormat="false" ht="15" hidden="false" customHeight="false" outlineLevel="0" collapsed="false">
      <c r="A15" s="12" t="s">
        <v>250</v>
      </c>
      <c r="B15" s="13" t="s">
        <v>251</v>
      </c>
      <c r="C15" s="13" t="s">
        <v>205</v>
      </c>
      <c r="D15" s="13" t="s">
        <v>214</v>
      </c>
      <c r="E15" s="13" t="s">
        <v>252</v>
      </c>
      <c r="F15" s="13" t="s">
        <v>225</v>
      </c>
      <c r="G15" s="13" t="s">
        <v>253</v>
      </c>
      <c r="H15" s="13" t="s">
        <v>254</v>
      </c>
      <c r="I15" s="13" t="s">
        <v>211</v>
      </c>
      <c r="J15" s="13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9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12" min="8" style="0" width="9"/>
    <col collapsed="false" customWidth="true" hidden="false" outlineLevel="0" max="13" min="13" style="0" width="18"/>
    <col collapsed="false" customWidth="true" hidden="false" outlineLevel="0" max="16" min="14" style="0" width="10"/>
    <col collapsed="false" customWidth="true" hidden="false" outlineLevel="0" max="17" min="17" style="0" width="13"/>
  </cols>
  <sheetData>
    <row r="1" customFormat="false" ht="17.35" hidden="false" customHeight="false" outlineLevel="0" collapsed="false">
      <c r="A1" s="1" t="s">
        <v>256</v>
      </c>
    </row>
    <row r="2" customFormat="false" ht="15" hidden="false" customHeight="false" outlineLevel="0" collapsed="false">
      <c r="A2" s="14" t="s">
        <v>257</v>
      </c>
    </row>
    <row r="4" customFormat="false" ht="31.5" hidden="false" customHeight="true" outlineLevel="0" collapsed="false">
      <c r="A4" s="4" t="s">
        <v>12</v>
      </c>
      <c r="B4" s="4" t="s">
        <v>258</v>
      </c>
      <c r="C4" s="4" t="s">
        <v>259</v>
      </c>
      <c r="D4" s="4" t="s">
        <v>260</v>
      </c>
      <c r="E4" s="4" t="s">
        <v>261</v>
      </c>
      <c r="F4" s="4" t="s">
        <v>262</v>
      </c>
      <c r="G4" s="4" t="s">
        <v>263</v>
      </c>
      <c r="H4" s="4" t="s">
        <v>264</v>
      </c>
      <c r="I4" s="4" t="s">
        <v>265</v>
      </c>
      <c r="J4" s="4" t="s">
        <v>266</v>
      </c>
      <c r="K4" s="4" t="s">
        <v>267</v>
      </c>
      <c r="L4" s="4" t="s">
        <v>268</v>
      </c>
      <c r="M4" s="4" t="s">
        <v>269</v>
      </c>
      <c r="N4" s="4" t="s">
        <v>270</v>
      </c>
      <c r="O4" s="4" t="s">
        <v>271</v>
      </c>
      <c r="P4" s="4" t="s">
        <v>272</v>
      </c>
      <c r="Q4" s="4" t="s">
        <v>273</v>
      </c>
    </row>
    <row r="5" customFormat="false" ht="15" hidden="false" customHeight="false" outlineLevel="0" collapsed="false">
      <c r="A5" s="6" t="s">
        <v>24</v>
      </c>
      <c r="B5" s="16" t="n">
        <v>932</v>
      </c>
      <c r="C5" s="16" t="s">
        <v>274</v>
      </c>
      <c r="D5" s="16" t="n">
        <v>1312</v>
      </c>
      <c r="E5" s="17" t="s">
        <v>274</v>
      </c>
      <c r="F5" s="7" t="s">
        <v>275</v>
      </c>
      <c r="G5" s="16" t="n">
        <v>1035</v>
      </c>
      <c r="H5" s="16" t="n">
        <v>1152</v>
      </c>
      <c r="I5" s="16" t="n">
        <v>1327</v>
      </c>
      <c r="J5" s="18" t="n">
        <v>0.986211</v>
      </c>
      <c r="K5" s="19" t="n">
        <f aca="false">IF(ISNUMBER(B5),ABS(G5-B5)/B5,"")</f>
        <v>0.110515021459227</v>
      </c>
      <c r="L5" s="19" t="n">
        <f aca="false">IF(ISNUMBER(D5),ABS(I5-D5)/D5,"")</f>
        <v>0.0114329268292683</v>
      </c>
      <c r="M5" s="7" t="s">
        <v>276</v>
      </c>
      <c r="N5" s="16" t="n">
        <v>1383</v>
      </c>
      <c r="O5" s="16" t="n">
        <v>1842</v>
      </c>
      <c r="P5" s="18" t="n">
        <v>0.993952</v>
      </c>
      <c r="Q5" s="20" t="n">
        <f aca="false">$N$14/N5-1</f>
        <v>0.808387563268257</v>
      </c>
    </row>
    <row r="6" customFormat="false" ht="15" hidden="false" customHeight="false" outlineLevel="0" collapsed="false">
      <c r="A6" s="9" t="s">
        <v>44</v>
      </c>
      <c r="B6" s="21" t="s">
        <v>274</v>
      </c>
      <c r="C6" s="21" t="s">
        <v>274</v>
      </c>
      <c r="D6" s="21" t="s">
        <v>274</v>
      </c>
      <c r="E6" s="22" t="s">
        <v>274</v>
      </c>
      <c r="F6" s="10" t="s">
        <v>277</v>
      </c>
      <c r="G6" s="21" t="n">
        <v>734</v>
      </c>
      <c r="H6" s="21" t="n">
        <v>1384</v>
      </c>
      <c r="I6" s="21" t="n">
        <v>2259</v>
      </c>
      <c r="J6" s="23" t="n">
        <v>0.997956</v>
      </c>
      <c r="K6" s="24" t="str">
        <f aca="false">IF(ISNUMBER(B6),ABS(G6-B6)/B6,"")</f>
        <v/>
      </c>
      <c r="L6" s="24" t="str">
        <f aca="false">IF(ISNUMBER(D6),ABS(I6-D6)/D6,"")</f>
        <v/>
      </c>
      <c r="M6" s="10" t="s">
        <v>278</v>
      </c>
      <c r="N6" s="21" t="n">
        <v>634</v>
      </c>
      <c r="O6" s="21" t="n">
        <v>1883</v>
      </c>
      <c r="P6" s="23" t="n">
        <v>0.996845</v>
      </c>
      <c r="Q6" s="25" t="n">
        <f aca="false">$N$14/N6-1</f>
        <v>2.94479495268139</v>
      </c>
    </row>
    <row r="7" customFormat="false" ht="15" hidden="false" customHeight="false" outlineLevel="0" collapsed="false">
      <c r="A7" s="6" t="s">
        <v>54</v>
      </c>
      <c r="B7" s="16" t="n">
        <v>1578</v>
      </c>
      <c r="C7" s="16" t="n">
        <v>2082</v>
      </c>
      <c r="D7" s="16" t="n">
        <v>2192</v>
      </c>
      <c r="E7" s="17" t="s">
        <v>274</v>
      </c>
      <c r="F7" s="7" t="s">
        <v>279</v>
      </c>
      <c r="G7" s="16" t="n">
        <v>1616</v>
      </c>
      <c r="H7" s="16" t="n">
        <v>2017</v>
      </c>
      <c r="I7" s="16" t="n">
        <v>2186</v>
      </c>
      <c r="J7" s="18" t="n">
        <v>0.988595</v>
      </c>
      <c r="K7" s="19" t="n">
        <f aca="false">IF(ISNUMBER(B7),ABS(G7-B7)/B7,"")</f>
        <v>0.0240811153358682</v>
      </c>
      <c r="L7" s="19" t="n">
        <f aca="false">IF(ISNUMBER(D7),ABS(I7-D7)/D7,"")</f>
        <v>0.00273722627737226</v>
      </c>
      <c r="M7" s="7" t="s">
        <v>280</v>
      </c>
      <c r="N7" s="16" t="n">
        <v>1324</v>
      </c>
      <c r="O7" s="16" t="n">
        <v>3504</v>
      </c>
      <c r="P7" s="18" t="n">
        <v>0.994186</v>
      </c>
      <c r="Q7" s="20" t="n">
        <f aca="false">$N$14/N7-1</f>
        <v>0.888972809667674</v>
      </c>
    </row>
    <row r="8" customFormat="false" ht="15" hidden="false" customHeight="false" outlineLevel="0" collapsed="false">
      <c r="A8" s="9" t="s">
        <v>64</v>
      </c>
      <c r="B8" s="21" t="s">
        <v>274</v>
      </c>
      <c r="C8" s="21" t="s">
        <v>274</v>
      </c>
      <c r="D8" s="21" t="s">
        <v>274</v>
      </c>
      <c r="E8" s="22" t="s">
        <v>274</v>
      </c>
      <c r="F8" s="10" t="s">
        <v>277</v>
      </c>
      <c r="G8" s="21" t="n">
        <v>484</v>
      </c>
      <c r="H8" s="21" t="n">
        <v>583</v>
      </c>
      <c r="I8" s="21" t="n">
        <v>689</v>
      </c>
      <c r="J8" s="23" t="n">
        <v>0.996585</v>
      </c>
      <c r="K8" s="24" t="str">
        <f aca="false">IF(ISNUMBER(B8),ABS(G8-B8)/B8,"")</f>
        <v/>
      </c>
      <c r="L8" s="24" t="str">
        <f aca="false">IF(ISNUMBER(D8),ABS(I8-D8)/D8,"")</f>
        <v/>
      </c>
      <c r="M8" s="10" t="s">
        <v>281</v>
      </c>
      <c r="N8" s="21" t="n">
        <v>1480</v>
      </c>
      <c r="O8" s="21" t="n">
        <v>1558</v>
      </c>
      <c r="P8" s="23" t="n">
        <v>0.992063</v>
      </c>
      <c r="Q8" s="25" t="n">
        <f aca="false">$N$14/N8-1</f>
        <v>0.689864864864865</v>
      </c>
    </row>
    <row r="9" customFormat="false" ht="15" hidden="false" customHeight="false" outlineLevel="0" collapsed="false">
      <c r="A9" s="6" t="s">
        <v>75</v>
      </c>
      <c r="B9" s="16" t="s">
        <v>274</v>
      </c>
      <c r="C9" s="16" t="s">
        <v>274</v>
      </c>
      <c r="D9" s="16" t="n">
        <v>4312</v>
      </c>
      <c r="E9" s="17" t="s">
        <v>274</v>
      </c>
      <c r="F9" s="7" t="s">
        <v>282</v>
      </c>
      <c r="G9" s="16" t="n">
        <v>1078</v>
      </c>
      <c r="H9" s="16" t="n">
        <v>1157</v>
      </c>
      <c r="I9" s="16" t="n">
        <v>1207</v>
      </c>
      <c r="J9" s="18" t="n">
        <v>0.950353</v>
      </c>
      <c r="K9" s="19" t="str">
        <f aca="false">IF(ISNUMBER(B9),ABS(G9-B9)/B9,"")</f>
        <v/>
      </c>
      <c r="L9" s="19" t="n">
        <f aca="false">IF(ISNUMBER(D9),ABS(I9-D9)/D9,"")</f>
        <v>0.720083487940631</v>
      </c>
      <c r="M9" s="7" t="s">
        <v>283</v>
      </c>
      <c r="N9" s="16" t="n">
        <v>1473</v>
      </c>
      <c r="O9" s="16" t="n">
        <v>1525</v>
      </c>
      <c r="P9" s="18" t="n">
        <v>0.993617</v>
      </c>
      <c r="Q9" s="20" t="n">
        <f aca="false">$N$14/N9-1</f>
        <v>0.697895451459606</v>
      </c>
    </row>
    <row r="10" customFormat="false" ht="15" hidden="false" customHeight="false" outlineLevel="0" collapsed="false">
      <c r="A10" s="9" t="s">
        <v>85</v>
      </c>
      <c r="B10" s="21" t="n">
        <v>1250</v>
      </c>
      <c r="C10" s="21" t="n">
        <v>1650</v>
      </c>
      <c r="D10" s="21" t="n">
        <v>2200</v>
      </c>
      <c r="E10" s="22" t="n">
        <v>0.95</v>
      </c>
      <c r="F10" s="10" t="s">
        <v>284</v>
      </c>
      <c r="G10" s="21" t="n">
        <v>1121</v>
      </c>
      <c r="H10" s="21" t="n">
        <v>1954</v>
      </c>
      <c r="I10" s="21" t="n">
        <v>3783</v>
      </c>
      <c r="J10" s="23" t="n">
        <v>0.997831</v>
      </c>
      <c r="K10" s="24" t="n">
        <f aca="false">IF(ISNUMBER(B10),ABS(G10-B10)/B10,"")</f>
        <v>0.1032</v>
      </c>
      <c r="L10" s="24" t="n">
        <f aca="false">IF(ISNUMBER(D10),ABS(I10-D10)/D10,"")</f>
        <v>0.719545454545455</v>
      </c>
      <c r="M10" s="10" t="s">
        <v>285</v>
      </c>
      <c r="N10" s="21" t="n">
        <v>1368</v>
      </c>
      <c r="O10" s="21" t="n">
        <v>1767</v>
      </c>
      <c r="P10" s="23" t="n">
        <v>0.995064</v>
      </c>
      <c r="Q10" s="25" t="n">
        <f aca="false">$N$14/N10-1</f>
        <v>0.828216374269006</v>
      </c>
    </row>
    <row r="11" customFormat="false" ht="23.85" hidden="false" customHeight="false" outlineLevel="0" collapsed="false">
      <c r="A11" s="6" t="s">
        <v>96</v>
      </c>
      <c r="B11" s="16" t="n">
        <v>524</v>
      </c>
      <c r="C11" s="16" t="s">
        <v>274</v>
      </c>
      <c r="D11" s="16" t="s">
        <v>274</v>
      </c>
      <c r="E11" s="17" t="s">
        <v>274</v>
      </c>
      <c r="F11" s="7" t="s">
        <v>286</v>
      </c>
      <c r="G11" s="5"/>
      <c r="H11" s="5"/>
      <c r="I11" s="5"/>
      <c r="J11" s="5"/>
      <c r="K11" s="5"/>
      <c r="L11" s="5"/>
      <c r="M11" s="5" t="s">
        <v>287</v>
      </c>
      <c r="N11" s="5"/>
      <c r="O11" s="5"/>
      <c r="P11" s="5"/>
      <c r="Q11" s="5"/>
    </row>
    <row r="12" customFormat="false" ht="15" hidden="false" customHeight="false" outlineLevel="0" collapsed="false">
      <c r="A12" s="9" t="s">
        <v>107</v>
      </c>
      <c r="B12" s="21" t="s">
        <v>274</v>
      </c>
      <c r="C12" s="21" t="s">
        <v>274</v>
      </c>
      <c r="D12" s="21" t="s">
        <v>274</v>
      </c>
      <c r="E12" s="22" t="s">
        <v>274</v>
      </c>
      <c r="F12" s="10" t="s">
        <v>288</v>
      </c>
      <c r="G12" s="8"/>
      <c r="H12" s="8"/>
      <c r="I12" s="8"/>
      <c r="J12" s="8"/>
      <c r="K12" s="8"/>
      <c r="L12" s="8"/>
      <c r="M12" s="8" t="s">
        <v>287</v>
      </c>
      <c r="N12" s="8"/>
      <c r="O12" s="8"/>
      <c r="P12" s="8"/>
      <c r="Q12" s="8"/>
    </row>
    <row r="13" customFormat="false" ht="15" hidden="false" customHeight="false" outlineLevel="0" collapsed="false">
      <c r="A13" s="6" t="s">
        <v>116</v>
      </c>
      <c r="B13" s="16" t="s">
        <v>274</v>
      </c>
      <c r="C13" s="16" t="s">
        <v>274</v>
      </c>
      <c r="D13" s="16" t="s">
        <v>274</v>
      </c>
      <c r="E13" s="17" t="s">
        <v>274</v>
      </c>
      <c r="F13" s="7" t="s">
        <v>289</v>
      </c>
      <c r="G13" s="5"/>
      <c r="H13" s="5"/>
      <c r="I13" s="5"/>
      <c r="J13" s="5"/>
      <c r="K13" s="5"/>
      <c r="L13" s="5"/>
      <c r="M13" s="5" t="s">
        <v>287</v>
      </c>
      <c r="N13" s="5"/>
      <c r="O13" s="5"/>
      <c r="P13" s="5"/>
      <c r="Q13" s="5"/>
    </row>
    <row r="14" customFormat="false" ht="15" hidden="false" customHeight="false" outlineLevel="0" collapsed="false">
      <c r="A14" s="12" t="s">
        <v>290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 t="s">
        <v>291</v>
      </c>
      <c r="N14" s="26" t="n">
        <v>2501</v>
      </c>
      <c r="O14" s="26" t="n">
        <v>2631</v>
      </c>
      <c r="P14" s="27" t="n">
        <v>0.996392</v>
      </c>
      <c r="Q14" s="11" t="s">
        <v>136</v>
      </c>
    </row>
    <row r="16" customFormat="false" ht="15" hidden="false" customHeight="false" outlineLevel="0" collapsed="false">
      <c r="A16" s="28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293</v>
      </c>
    </row>
    <row r="4" customFormat="false" ht="31.5" hidden="false" customHeight="true" outlineLevel="0" collapsed="false">
      <c r="A4" s="4" t="s">
        <v>12</v>
      </c>
      <c r="B4" s="4" t="s">
        <v>294</v>
      </c>
      <c r="C4" s="4" t="s">
        <v>295</v>
      </c>
    </row>
    <row r="5" customFormat="false" ht="15" hidden="false" customHeight="false" outlineLevel="0" collapsed="false">
      <c r="A5" s="6" t="s">
        <v>24</v>
      </c>
      <c r="B5" s="29" t="s">
        <v>296</v>
      </c>
      <c r="C5" s="7" t="s">
        <v>297</v>
      </c>
    </row>
    <row r="6" customFormat="false" ht="15" hidden="false" customHeight="false" outlineLevel="0" collapsed="false">
      <c r="A6" s="9" t="s">
        <v>298</v>
      </c>
      <c r="B6" s="30" t="s">
        <v>299</v>
      </c>
      <c r="C6" s="10" t="s">
        <v>300</v>
      </c>
    </row>
    <row r="7" customFormat="false" ht="15" hidden="false" customHeight="false" outlineLevel="0" collapsed="false">
      <c r="A7" s="6" t="s">
        <v>44</v>
      </c>
      <c r="B7" s="29" t="s">
        <v>301</v>
      </c>
      <c r="C7" s="7" t="s">
        <v>302</v>
      </c>
    </row>
    <row r="8" customFormat="false" ht="15" hidden="false" customHeight="false" outlineLevel="0" collapsed="false">
      <c r="A8" s="9" t="s">
        <v>54</v>
      </c>
      <c r="B8" s="30" t="s">
        <v>303</v>
      </c>
      <c r="C8" s="10" t="s">
        <v>304</v>
      </c>
    </row>
    <row r="9" customFormat="false" ht="15" hidden="false" customHeight="false" outlineLevel="0" collapsed="false">
      <c r="A9" s="6" t="s">
        <v>64</v>
      </c>
      <c r="B9" s="29" t="s">
        <v>305</v>
      </c>
      <c r="C9" s="7" t="s">
        <v>306</v>
      </c>
    </row>
    <row r="10" customFormat="false" ht="15" hidden="false" customHeight="false" outlineLevel="0" collapsed="false">
      <c r="A10" s="9" t="s">
        <v>75</v>
      </c>
      <c r="B10" s="30" t="s">
        <v>307</v>
      </c>
      <c r="C10" s="10" t="s">
        <v>308</v>
      </c>
    </row>
    <row r="11" customFormat="false" ht="15" hidden="false" customHeight="false" outlineLevel="0" collapsed="false">
      <c r="A11" s="6" t="s">
        <v>85</v>
      </c>
      <c r="B11" s="29" t="s">
        <v>309</v>
      </c>
      <c r="C11" s="7" t="s">
        <v>310</v>
      </c>
    </row>
    <row r="12" customFormat="false" ht="15" hidden="false" customHeight="false" outlineLevel="0" collapsed="false">
      <c r="A12" s="9" t="s">
        <v>85</v>
      </c>
      <c r="B12" s="30" t="s">
        <v>311</v>
      </c>
      <c r="C12" s="10" t="s">
        <v>312</v>
      </c>
    </row>
    <row r="13" customFormat="false" ht="23.85" hidden="false" customHeight="false" outlineLevel="0" collapsed="false">
      <c r="A13" s="12" t="s">
        <v>165</v>
      </c>
      <c r="B13" s="31" t="s">
        <v>313</v>
      </c>
      <c r="C13" s="13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0"/>
  </cols>
  <sheetData>
    <row r="1" customFormat="false" ht="17.35" hidden="false" customHeight="false" outlineLevel="0" collapsed="false">
      <c r="A1" s="1" t="s">
        <v>315</v>
      </c>
    </row>
    <row r="4" customFormat="false" ht="31.5" hidden="false" customHeight="true" outlineLevel="0" collapsed="false">
      <c r="A4" s="4" t="s">
        <v>11</v>
      </c>
      <c r="B4" s="4" t="s">
        <v>316</v>
      </c>
    </row>
    <row r="5" customFormat="false" ht="15" hidden="false" customHeight="false" outlineLevel="0" collapsed="false">
      <c r="A5" s="5" t="n">
        <v>1</v>
      </c>
      <c r="B5" s="7" t="s">
        <v>317</v>
      </c>
    </row>
    <row r="6" customFormat="false" ht="15" hidden="false" customHeight="false" outlineLevel="0" collapsed="false">
      <c r="A6" s="8" t="n">
        <v>2</v>
      </c>
      <c r="B6" s="10" t="s">
        <v>318</v>
      </c>
    </row>
    <row r="7" customFormat="false" ht="15" hidden="false" customHeight="false" outlineLevel="0" collapsed="false">
      <c r="A7" s="5" t="n">
        <v>3</v>
      </c>
      <c r="B7" s="7" t="s">
        <v>319</v>
      </c>
    </row>
    <row r="8" customFormat="false" ht="15" hidden="false" customHeight="false" outlineLevel="0" collapsed="false">
      <c r="A8" s="8" t="n">
        <v>4</v>
      </c>
      <c r="B8" s="10" t="s">
        <v>320</v>
      </c>
    </row>
    <row r="9" customFormat="false" ht="15" hidden="false" customHeight="false" outlineLevel="0" collapsed="false">
      <c r="A9" s="5" t="n">
        <v>5</v>
      </c>
      <c r="B9" s="7" t="s">
        <v>321</v>
      </c>
    </row>
    <row r="10" customFormat="false" ht="15" hidden="false" customHeight="false" outlineLevel="0" collapsed="false">
      <c r="A10" s="8" t="n">
        <v>6</v>
      </c>
      <c r="B10" s="10" t="s">
        <v>322</v>
      </c>
    </row>
    <row r="11" customFormat="false" ht="15" hidden="false" customHeight="false" outlineLevel="0" collapsed="false">
      <c r="A11" s="5" t="n">
        <v>7</v>
      </c>
      <c r="B11" s="7" t="s">
        <v>323</v>
      </c>
    </row>
    <row r="12" customFormat="false" ht="15" hidden="false" customHeight="false" outlineLevel="0" collapsed="false">
      <c r="A12" s="8" t="n">
        <v>8</v>
      </c>
      <c r="B12" s="10" t="s">
        <v>324</v>
      </c>
    </row>
    <row r="13" customFormat="false" ht="15" hidden="false" customHeight="false" outlineLevel="0" collapsed="false">
      <c r="A13" s="5" t="n">
        <v>9</v>
      </c>
      <c r="B13" s="7" t="s">
        <v>325</v>
      </c>
    </row>
    <row r="14" customFormat="false" ht="15" hidden="false" customHeight="false" outlineLevel="0" collapsed="false">
      <c r="A14" s="8" t="n">
        <v>10</v>
      </c>
      <c r="B14" s="10" t="s">
        <v>326</v>
      </c>
    </row>
    <row r="15" customFormat="false" ht="15" hidden="false" customHeight="false" outlineLevel="0" collapsed="false">
      <c r="A15" s="5" t="n">
        <v>11</v>
      </c>
      <c r="B15" s="7" t="s">
        <v>327</v>
      </c>
    </row>
    <row r="16" customFormat="false" ht="15" hidden="false" customHeight="false" outlineLevel="0" collapsed="false">
      <c r="A16" s="8" t="n">
        <v>12</v>
      </c>
      <c r="B16" s="10" t="s">
        <v>328</v>
      </c>
    </row>
    <row r="17" customFormat="false" ht="15" hidden="false" customHeight="false" outlineLevel="0" collapsed="false">
      <c r="A17" s="5" t="n">
        <v>13</v>
      </c>
      <c r="B17" s="7" t="s">
        <v>329</v>
      </c>
    </row>
    <row r="18" customFormat="false" ht="15" hidden="false" customHeight="false" outlineLevel="0" collapsed="false">
      <c r="A18" s="8" t="n">
        <v>14</v>
      </c>
      <c r="B18" s="10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2026-09-24T18:28:16Z</dcterms:created>
  <dc:creator>openpyxl</dc:creator>
  <dc:description/>
  <dc:language>en-US</dc:language>
  <cp:lastModifiedBy/>
  <dcterms:modified xsi:type="dcterms:W3CDTF">2026-09-24T18:28:16Z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