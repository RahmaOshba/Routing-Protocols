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ll runs" sheetId="2" state="visible" r:id="rId4"/>
    <sheet name="Comparison" sheetId="3" state="visible" r:id="rId5"/>
    <sheet name="Reproduction" sheetId="4" state="visible" r:id="rId6"/>
    <sheet name="Hybrids" sheetId="5" state="visible" r:id="rId7"/>
    <sheet name="Evolution" sheetId="6" state="visible" r:id="rId8"/>
    <sheet name="Ablation" sheetId="7" state="visible" r:id="rId9"/>
    <sheet name="Routing" sheetId="8" state="visible" r:id="rId10"/>
    <sheet name="Robustness" sheetId="9" state="visible" r:id="rId11"/>
    <sheet name="Environment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<sst xmlns="http://schemas.openxmlformats.org/spreadsheetml/2006/main" count="628" uniqueCount="295">
  <si>
    <t xml:space="preserve">Results comparison — v8-Chain thesis</t>
  </si>
  <si>
    <t xml:space="preserve">Every number comes from results/summary_all.csv (sheet "All runs", blue = raw input).</t>
  </si>
  <si>
    <t xml:space="preserve">All other sheets look those numbers up with INDEX/MATCH (black = formula, green = link to another sheet).</t>
  </si>
  <si>
    <t xml:space="preserve">To update after new simulations: replace the rows of "All runs"; everything else recalculates.</t>
  </si>
  <si>
    <t xml:space="preserve">Sheets</t>
  </si>
  <si>
    <t xml:space="preserve">Comparison — best version of every family (unified environment, BS at the centre)</t>
  </si>
  <si>
    <t xml:space="preserve">Reproduction — published numbers vs. our code in each paper's own settings</t>
  </si>
  <si>
    <t xml:space="preserve">Hybrids — SH-LEACH, H-LEACH, EECH-HEED: original → unified → improved</t>
  </si>
  <si>
    <t xml:space="preserve">Evolution — proposed protocol v1 → v8-Chain</t>
  </si>
  <si>
    <t xml:space="preserve">Ablation — v8 with one improvement removed</t>
  </si>
  <si>
    <t xml:space="preserve">Routing — CH → BS routing mode, BS at the centre and far away</t>
  </si>
  <si>
    <t xml:space="preserve">Robustness — 8 random topologies</t>
  </si>
  <si>
    <t xml:space="preserve">Environment — unified simulation parameters</t>
  </si>
  <si>
    <t xml:space="preserve">FND / HND / LND = round in which the first / half / last node dies. PDR = readings delivered ÷ readings generated.</t>
  </si>
  <si>
    <t xml:space="preserve">All simulation runs (raw input)</t>
  </si>
  <si>
    <t xml:space="preserve">Source: results/summary_all.csv — generated by the ns-3.41 codes in code/. Blue = input values.</t>
  </si>
  <si>
    <t xml:space="preserve">Group</t>
  </si>
  <si>
    <t xml:space="preserve">Run (code file)</t>
  </si>
  <si>
    <t xml:space="preserve">FND</t>
  </si>
  <si>
    <t xml:space="preserve">HND</t>
  </si>
  <si>
    <t xml:space="preserve">LND</t>
  </si>
  <si>
    <t xml:space="preserve">PDR</t>
  </si>
  <si>
    <t xml:space="preserve">1_ORIGINAL</t>
  </si>
  <si>
    <t xml:space="preserve">eechheed_ORIGINAL</t>
  </si>
  <si>
    <t xml:space="preserve">heed_ORIGINAL</t>
  </si>
  <si>
    <t xml:space="preserve">hleach_ORIGINAL</t>
  </si>
  <si>
    <t xml:space="preserve">leach_ORIGINAL</t>
  </si>
  <si>
    <t xml:space="preserve">pegasis_ORIGINAL</t>
  </si>
  <si>
    <t xml:space="preserve">shleach_ORIGINAL</t>
  </si>
  <si>
    <t xml:space="preserve">2_EDITED</t>
  </si>
  <si>
    <t xml:space="preserve">eechheed_EDITED</t>
  </si>
  <si>
    <t xml:space="preserve">heed_EDITED</t>
  </si>
  <si>
    <t xml:space="preserve">heed_fairness_EDITED</t>
  </si>
  <si>
    <t xml:space="preserve">hleach_EDITED</t>
  </si>
  <si>
    <t xml:space="preserve">leach_EDITED</t>
  </si>
  <si>
    <t xml:space="preserve">pegasis_EDITED</t>
  </si>
  <si>
    <t xml:space="preserve">shleach_EDITED</t>
  </si>
  <si>
    <t xml:space="preserve">3_IMPROVED</t>
  </si>
  <si>
    <t xml:space="preserve">eechheed_IMPROVED</t>
  </si>
  <si>
    <t xml:space="preserve">hleach_IMPROVED</t>
  </si>
  <si>
    <t xml:space="preserve">shleach_IMPROVED</t>
  </si>
  <si>
    <t xml:space="preserve">4_PROPOSED</t>
  </si>
  <si>
    <t xml:space="preserve">v1_heed_election_leach_join</t>
  </si>
  <si>
    <t xml:space="preserve">v2_fairness_penalty</t>
  </si>
  <si>
    <t xml:space="preserve">v3_single_pass_reuse_int5</t>
  </si>
  <si>
    <t xml:space="preserve">v4_reuse_int15</t>
  </si>
  <si>
    <t xml:space="preserve">v5_backup_int15</t>
  </si>
  <si>
    <t xml:space="preserve">v5x_backup_repair_int5</t>
  </si>
  <si>
    <t xml:space="preserve">v5x_backup_repair_int10</t>
  </si>
  <si>
    <t xml:space="preserve">v5b_energy_aware_repair</t>
  </si>
  <si>
    <t xml:space="preserve">v6_chain_center</t>
  </si>
  <si>
    <t xml:space="preserve">v6_chain_farBS</t>
  </si>
  <si>
    <t xml:space="preserve">v7_chain_backup_center</t>
  </si>
  <si>
    <t xml:space="preserve">v7_chain_backup_farBS</t>
  </si>
  <si>
    <t xml:space="preserve">v7_1_multihop_int5</t>
  </si>
  <si>
    <t xml:space="preserve">v7_2_multihop_int10</t>
  </si>
  <si>
    <t xml:space="preserve">v8_center</t>
  </si>
  <si>
    <t xml:space="preserve">v8_farBS</t>
  </si>
  <si>
    <t xml:space="preserve">v8_chain_center</t>
  </si>
  <si>
    <t xml:space="preserve">v8_chain_farBS</t>
  </si>
  <si>
    <t xml:space="preserve">4_PROPOSED/side_experiments</t>
  </si>
  <si>
    <t xml:space="preserve">v7_backup_only_noChain_int10</t>
  </si>
  <si>
    <t xml:space="preserve">ablation</t>
  </si>
  <si>
    <t xml:space="preserve">v8_without_I1</t>
  </si>
  <si>
    <t xml:space="preserve">v8_without_I2</t>
  </si>
  <si>
    <t xml:space="preserve">v8_without_I3</t>
  </si>
  <si>
    <t xml:space="preserve">v8_without_I4</t>
  </si>
  <si>
    <t xml:space="preserve">v8_without_I5</t>
  </si>
  <si>
    <t xml:space="preserve">routing</t>
  </si>
  <si>
    <t xml:space="preserve">center_mode0</t>
  </si>
  <si>
    <t xml:space="preserve">center_mode1</t>
  </si>
  <si>
    <t xml:space="preserve">center_mode2</t>
  </si>
  <si>
    <t xml:space="preserve">farBS_mode0</t>
  </si>
  <si>
    <t xml:space="preserve">farBS_mode1</t>
  </si>
  <si>
    <t xml:space="preserve">farBS_mode2</t>
  </si>
  <si>
    <t xml:space="preserve">robustness</t>
  </si>
  <si>
    <t xml:space="preserve">v5b_center_seed1</t>
  </si>
  <si>
    <t xml:space="preserve">v5b_center_seed12345</t>
  </si>
  <si>
    <t xml:space="preserve">v5b_center_seed2024</t>
  </si>
  <si>
    <t xml:space="preserve">v5b_center_seed31337</t>
  </si>
  <si>
    <t xml:space="preserve">v5b_center_seed42</t>
  </si>
  <si>
    <t xml:space="preserve">v5b_center_seed555</t>
  </si>
  <si>
    <t xml:space="preserve">v5b_center_seed7</t>
  </si>
  <si>
    <t xml:space="preserve">v5b_center_seed99</t>
  </si>
  <si>
    <t xml:space="preserve">v8_center_seed1</t>
  </si>
  <si>
    <t xml:space="preserve">v8_center_seed12345</t>
  </si>
  <si>
    <t xml:space="preserve">v8_center_seed2024</t>
  </si>
  <si>
    <t xml:space="preserve">v8_center_seed31337</t>
  </si>
  <si>
    <t xml:space="preserve">v8_center_seed42</t>
  </si>
  <si>
    <t xml:space="preserve">v8_center_seed555</t>
  </si>
  <si>
    <t xml:space="preserve">v8_center_seed7</t>
  </si>
  <si>
    <t xml:space="preserve">v8_center_seed99</t>
  </si>
  <si>
    <t xml:space="preserve">v8_chain_center_seed1</t>
  </si>
  <si>
    <t xml:space="preserve">v8_chain_center_seed12345</t>
  </si>
  <si>
    <t xml:space="preserve">v8_chain_center_seed2024</t>
  </si>
  <si>
    <t xml:space="preserve">v8_chain_center_seed31337</t>
  </si>
  <si>
    <t xml:space="preserve">v8_chain_center_seed42</t>
  </si>
  <si>
    <t xml:space="preserve">v8_chain_center_seed555</t>
  </si>
  <si>
    <t xml:space="preserve">v8_chain_center_seed7</t>
  </si>
  <si>
    <t xml:space="preserve">v8_chain_center_seed99</t>
  </si>
  <si>
    <t xml:space="preserve">v8_farBS_seed1</t>
  </si>
  <si>
    <t xml:space="preserve">v8_farBS_seed12345</t>
  </si>
  <si>
    <t xml:space="preserve">v8_farBS_seed2024</t>
  </si>
  <si>
    <t xml:space="preserve">v8_farBS_seed31337</t>
  </si>
  <si>
    <t xml:space="preserve">v8_farBS_seed42</t>
  </si>
  <si>
    <t xml:space="preserve">v8_farBS_seed555</t>
  </si>
  <si>
    <t xml:space="preserve">v8_farBS_seed7</t>
  </si>
  <si>
    <t xml:space="preserve">v8_farBS_seed99</t>
  </si>
  <si>
    <t xml:space="preserve">v8_chain_farBS_seed1</t>
  </si>
  <si>
    <t xml:space="preserve">v8_chain_farBS_seed12345</t>
  </si>
  <si>
    <t xml:space="preserve">v8_chain_farBS_seed2024</t>
  </si>
  <si>
    <t xml:space="preserve">v8_chain_farBS_seed31337</t>
  </si>
  <si>
    <t xml:space="preserve">v8_chain_farBS_seed42</t>
  </si>
  <si>
    <t xml:space="preserve">v8_chain_farBS_seed555</t>
  </si>
  <si>
    <t xml:space="preserve">v8_chain_farBS_seed7</t>
  </si>
  <si>
    <t xml:space="preserve">v8_chain_farBS_seed99</t>
  </si>
  <si>
    <t xml:space="preserve">Best version of every family — unified environment, BS at the centre</t>
  </si>
  <si>
    <t xml:space="preserve">FND gain = v8-Chain FND ÷ protocol FND − 1 (the v8-Chain row is the reference).</t>
  </si>
  <si>
    <t xml:space="preserve">Protocol</t>
  </si>
  <si>
    <t xml:space="preserve">Run</t>
  </si>
  <si>
    <t xml:space="preserve">Family</t>
  </si>
  <si>
    <t xml:space="preserve">v8-Chain FND gain</t>
  </si>
  <si>
    <t xml:space="preserve">PDR difference (pp)</t>
  </si>
  <si>
    <t xml:space="preserve">LEACH</t>
  </si>
  <si>
    <t xml:space="preserve">Baseline</t>
  </si>
  <si>
    <t xml:space="preserve">HEED</t>
  </si>
  <si>
    <t xml:space="preserve">HEED + fairness</t>
  </si>
  <si>
    <t xml:space="preserve">Baseline variant</t>
  </si>
  <si>
    <t xml:space="preserve">PEGASIS</t>
  </si>
  <si>
    <t xml:space="preserve">SH-LEACH</t>
  </si>
  <si>
    <t xml:space="preserve">Literature hybrid</t>
  </si>
  <si>
    <t xml:space="preserve">SH-LEACH+</t>
  </si>
  <si>
    <t xml:space="preserve">Literature hybrid (improved)</t>
  </si>
  <si>
    <t xml:space="preserve">H-LEACH</t>
  </si>
  <si>
    <t xml:space="preserve">H-LEACH+</t>
  </si>
  <si>
    <t xml:space="preserve">EECH-HEED</t>
  </si>
  <si>
    <t xml:space="preserve">Recent hybrid</t>
  </si>
  <si>
    <t xml:space="preserve">EECH-HEED+</t>
  </si>
  <si>
    <t xml:space="preserve">Recent hybrid (improved)</t>
  </si>
  <si>
    <t xml:space="preserve">v8-Chain</t>
  </si>
  <si>
    <t xml:space="preserve">Proposed</t>
  </si>
  <si>
    <t xml:space="preserve">Published numbers vs. our reproduction in each paper's own settings</t>
  </si>
  <si>
    <t xml:space="preserve">Blue = published value typed from the paper (source in the last column). Difference = |ours − published| ÷ published.</t>
  </si>
  <si>
    <t xml:space="preserve">Pub. FND</t>
  </si>
  <si>
    <t xml:space="preserve">Pub. HND</t>
  </si>
  <si>
    <t xml:space="preserve">Pub. LND</t>
  </si>
  <si>
    <t xml:space="preserve">Our FND</t>
  </si>
  <si>
    <t xml:space="preserve">Our HND</t>
  </si>
  <si>
    <t xml:space="preserve">Our LND</t>
  </si>
  <si>
    <t xml:space="preserve">Our PDR</t>
  </si>
  <si>
    <t xml:space="preserve">FND diff.</t>
  </si>
  <si>
    <t xml:space="preserve">HND diff.</t>
  </si>
  <si>
    <t xml:space="preserve">LND diff.</t>
  </si>
  <si>
    <t xml:space="preserve">Source</t>
  </si>
  <si>
    <t xml:space="preserve">n/a</t>
  </si>
  <si>
    <t xml:space="preserve">Heinzelman et al. 2000, Table 2 (0.5 J)</t>
  </si>
  <si>
    <t xml:space="preserve">Younis &amp; Fahmy 2004 — graphs only</t>
  </si>
  <si>
    <t xml:space="preserve">Lindsey &amp; Raghavendra 2002, Table 1 (50×50 m)</t>
  </si>
  <si>
    <t xml:space="preserve">Shrestha et al. 2015 — graphs only</t>
  </si>
  <si>
    <t xml:space="preserve">Razaque et al. 2016 — read from Fig. 2</t>
  </si>
  <si>
    <t xml:space="preserve">Kaur, Kour &amp; Singh 2025, Table 7</t>
  </si>
  <si>
    <t xml:space="preserve">H-LEACH's published 4312 comes from a constant per-round energy, not a radio model, so it is not comparable.</t>
  </si>
  <si>
    <t xml:space="preserve">Literature hybrids: original → unified → improved</t>
  </si>
  <si>
    <t xml:space="preserve">Improvement = improved ÷ unified − 1.</t>
  </si>
  <si>
    <t xml:space="preserve">Stage</t>
  </si>
  <si>
    <t xml:space="preserve">What changed</t>
  </si>
  <si>
    <t xml:space="preserve">Original</t>
  </si>
  <si>
    <t xml:space="preserve">paper settings (Eq. 3 as written)</t>
  </si>
  <si>
    <t xml:space="preserve">Edited</t>
  </si>
  <si>
    <t xml:space="preserve">unified environment</t>
  </si>
  <si>
    <t xml:space="preserve">Improved</t>
  </si>
  <si>
    <t xml:space="preserve">round factor r → r mod 1/C_prob</t>
  </si>
  <si>
    <t xml:space="preserve">paper settings (fallback CH needed)</t>
  </si>
  <si>
    <t xml:space="preserve">≥ average + LEACH G-set</t>
  </si>
  <si>
    <t xml:space="preserve">paper settings (sensing on, 56 J)</t>
  </si>
  <si>
    <t xml:space="preserve">unified environment (sensing off)</t>
  </si>
  <si>
    <t xml:space="preserve">zone-2 rotation at 10 % CH target</t>
  </si>
  <si>
    <t xml:space="preserve">FND gain</t>
  </si>
  <si>
    <t xml:space="preserve">HND gain</t>
  </si>
  <si>
    <t xml:space="preserve">LND gain</t>
  </si>
  <si>
    <t xml:space="preserve">PDR (pp)</t>
  </si>
  <si>
    <t xml:space="preserve">Proposed protocol — every version</t>
  </si>
  <si>
    <t xml:space="preserve">Change vs v1 = FND ÷ v1 FND − 1.</t>
  </si>
  <si>
    <t xml:space="preserve">Version</t>
  </si>
  <si>
    <t xml:space="preserve">Change introduced</t>
  </si>
  <si>
    <t xml:space="preserve">FND vs v1</t>
  </si>
  <si>
    <t xml:space="preserve">v1</t>
  </si>
  <si>
    <t xml:space="preserve">HEED election + LEACH nearest join</t>
  </si>
  <si>
    <t xml:space="preserve">v2</t>
  </si>
  <si>
    <t xml:space="preserve">+ rotation-fairness penalty</t>
  </si>
  <si>
    <t xml:space="preserve">v3</t>
  </si>
  <si>
    <t xml:space="preserve">single-pass score + 5-round reuse</t>
  </si>
  <si>
    <t xml:space="preserve">v4</t>
  </si>
  <si>
    <t xml:space="preserve">reuse interval 15</t>
  </si>
  <si>
    <t xml:space="preserve">v5</t>
  </si>
  <si>
    <t xml:space="preserve">+ backup CH (interval 15)</t>
  </si>
  <si>
    <t xml:space="preserve">v5-exp (int 5)</t>
  </si>
  <si>
    <t xml:space="preserve">backup + cluster repair, interval 5</t>
  </si>
  <si>
    <t xml:space="preserve">v5-exp (int 10)</t>
  </si>
  <si>
    <t xml:space="preserve">same, interval 10</t>
  </si>
  <si>
    <t xml:space="preserve">v5b</t>
  </si>
  <si>
    <t xml:space="preserve">+ energy-aware backup check</t>
  </si>
  <si>
    <t xml:space="preserve">v6 (centre)</t>
  </si>
  <si>
    <t xml:space="preserve">ordered CH chain</t>
  </si>
  <si>
    <t xml:space="preserve">v6 (far BS)</t>
  </si>
  <si>
    <t xml:space="preserve">ordered CH chain, BS (50,−100)</t>
  </si>
  <si>
    <t xml:space="preserve">v7 (centre)</t>
  </si>
  <si>
    <t xml:space="preserve">chain + backup + chain repair</t>
  </si>
  <si>
    <t xml:space="preserve">v7 (far BS)</t>
  </si>
  <si>
    <t xml:space="preserve">same, BS (50,−100)</t>
  </si>
  <si>
    <t xml:space="preserve">v7.1</t>
  </si>
  <si>
    <t xml:space="preserve">greedy multihop tree</t>
  </si>
  <si>
    <t xml:space="preserve">v7.2</t>
  </si>
  <si>
    <t xml:space="preserve">multihop, interval 10</t>
  </si>
  <si>
    <t xml:space="preserve">v8 (centre)</t>
  </si>
  <si>
    <t xml:space="preserve">v5b + I1–I5</t>
  </si>
  <si>
    <t xml:space="preserve">v8 (far BS)</t>
  </si>
  <si>
    <t xml:space="preserve">v8-Chain (centre)</t>
  </si>
  <si>
    <t xml:space="preserve">v8 + energy-aware CH relay</t>
  </si>
  <si>
    <t xml:space="preserve">v8-Chain (far BS)</t>
  </si>
  <si>
    <t xml:space="preserve">v8 with one improvement removed (compile flag -DI&lt;k&gt;=0)</t>
  </si>
  <si>
    <t xml:space="preserve">Change = run FND ÷ full v8 FND − 1.</t>
  </si>
  <si>
    <t xml:space="preserve">Removed mechanism</t>
  </si>
  <si>
    <t xml:space="preserve">FND change</t>
  </si>
  <si>
    <t xml:space="preserve">— (full v8)</t>
  </si>
  <si>
    <t xml:space="preserve">I1 epoch-exhaustion fix</t>
  </si>
  <si>
    <t xml:space="preserve">I2 proactive CH handover</t>
  </si>
  <si>
    <t xml:space="preserve">I3 orphan re-join</t>
  </si>
  <si>
    <t xml:space="preserve">I4 direct-to-BS</t>
  </si>
  <si>
    <t xml:space="preserve">I5 energy-gated election</t>
  </si>
  <si>
    <t xml:space="preserve">CH → BS routing mode of v8-Chain (compile flag -DCHAIN_MODE)</t>
  </si>
  <si>
    <t xml:space="preserve">Gain = mode FND ÷ direct FND − 1 for the same BS position.</t>
  </si>
  <si>
    <t xml:space="preserve">BS</t>
  </si>
  <si>
    <t xml:space="preserve">Mode</t>
  </si>
  <si>
    <t xml:space="preserve">FND vs direct</t>
  </si>
  <si>
    <t xml:space="preserve">centre (50,50)</t>
  </si>
  <si>
    <t xml:space="preserve">0 · direct CH → BS (= v8)</t>
  </si>
  <si>
    <t xml:space="preserve">1 · ordered CH chain</t>
  </si>
  <si>
    <t xml:space="preserve">2 · energy-aware relay (= v8-Chain)</t>
  </si>
  <si>
    <t xml:space="preserve">far (50,−100)</t>
  </si>
  <si>
    <t xml:space="preserve">8 random topologies (compile flag -DTOPO_SEED)</t>
  </si>
  <si>
    <t xml:space="preserve">Mean / min / max are formulas over the 8 seeds of each protocol.</t>
  </si>
  <si>
    <t xml:space="preserve">Seed</t>
  </si>
  <si>
    <t xml:space="preserve">v5b (centre)</t>
  </si>
  <si>
    <t xml:space="preserve">12345</t>
  </si>
  <si>
    <t xml:space="preserve">1</t>
  </si>
  <si>
    <t xml:space="preserve">7</t>
  </si>
  <si>
    <t xml:space="preserve">42</t>
  </si>
  <si>
    <t xml:space="preserve">99</t>
  </si>
  <si>
    <t xml:space="preserve">2024</t>
  </si>
  <si>
    <t xml:space="preserve">31337</t>
  </si>
  <si>
    <t xml:space="preserve">555</t>
  </si>
  <si>
    <t xml:space="preserve">Mean FND</t>
  </si>
  <si>
    <t xml:space="preserve">Mean HND</t>
  </si>
  <si>
    <t xml:space="preserve">Mean LND</t>
  </si>
  <si>
    <t xml:space="preserve">Mean PDR</t>
  </si>
  <si>
    <t xml:space="preserve">Min FND</t>
  </si>
  <si>
    <t xml:space="preserve">Max FND</t>
  </si>
  <si>
    <t xml:space="preserve">FND spread</t>
  </si>
  <si>
    <t xml:space="preserve">Unified simulation environment (EDITED, IMPROVED and PROPOSED codes)</t>
  </si>
  <si>
    <t xml:space="preserve">Parameter</t>
  </si>
  <si>
    <t xml:space="preserve">Value</t>
  </si>
  <si>
    <t xml:space="preserve">Nodes</t>
  </si>
  <si>
    <t xml:space="preserve">100, random uniform</t>
  </si>
  <si>
    <t xml:space="preserve">Field</t>
  </si>
  <si>
    <t xml:space="preserve">100 × 100 m</t>
  </si>
  <si>
    <t xml:space="preserve">Initial energy</t>
  </si>
  <si>
    <t xml:space="preserve">0.5 J per node (50 J total)</t>
  </si>
  <si>
    <t xml:space="preserve">Base station</t>
  </si>
  <si>
    <t xml:space="preserve">centre (50, 50); far case (50, −100)</t>
  </si>
  <si>
    <t xml:space="preserve">Data / control packet</t>
  </si>
  <si>
    <t xml:space="preserve">2000 / 200 bits</t>
  </si>
  <si>
    <t xml:space="preserve">Radio model</t>
  </si>
  <si>
    <t xml:space="preserve">first-order, two-slope (d² / d⁴)</t>
  </si>
  <si>
    <t xml:space="preserve">E_elec</t>
  </si>
  <si>
    <t xml:space="preserve">50 nJ/bit</t>
  </si>
  <si>
    <t xml:space="preserve">ε_fs / ε_mp</t>
  </si>
  <si>
    <t xml:space="preserve">10 pJ/bit/m² / 0.0013 pJ/bit/m⁴</t>
  </si>
  <si>
    <t xml:space="preserve">d0 = √(ε_fs/ε_mp)</t>
  </si>
  <si>
    <t xml:space="preserve">≈ 87.7 m</t>
  </si>
  <si>
    <t xml:space="preserve">E_DA (aggregation)</t>
  </si>
  <si>
    <t xml:space="preserve">5 nJ/bit/signal</t>
  </si>
  <si>
    <t xml:space="preserve">Neighbour range</t>
  </si>
  <si>
    <t xml:space="preserve">25 m</t>
  </si>
  <si>
    <t xml:space="preserve">Setup overhead</t>
  </si>
  <si>
    <t xml:space="preserve">CH advertisement to every node that may join, join request, TDMA schedule</t>
  </si>
  <si>
    <t xml:space="preserve">Fusion</t>
  </si>
  <si>
    <t xml:space="preserve">members + the CH's own signal</t>
  </si>
  <si>
    <t xml:space="preserve">Node without CH</t>
  </si>
  <si>
    <t xml:space="preserve">sends directly to the BS</t>
  </si>
  <si>
    <t xml:space="preserve">Run length</t>
  </si>
  <si>
    <t xml:space="preserve">until the last node dies</t>
  </si>
  <si>
    <t xml:space="preserve">12345 (robustness: 12345, 1, 7, 42, 99, 2024, 31337, 555)</t>
  </si>
  <si>
    <t xml:space="preserve">Simulator</t>
  </si>
  <si>
    <t xml:space="preserve">ns-3.41, C++, analytical energy model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</si>
</sst>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%"/>
    <numFmt numFmtId="167" formatCode="\+0.0%;\-0.0%;0.0%"/>
    <numFmt numFmtId="168" formatCode="\+0.00;\-0.00;0.00"/>
    <numFmt numFmtId="169" formatCode="0.0%"/>
    <numFmt numFmtId="170" formatCode="\+0.00;\-0.00"/>
    <numFmt numFmtId="171" formatCode="\±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13D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4213D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color rgb="FF5F5E5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213D"/>
        <bgColor rgb="FF003366"/>
      </patternFill>
    </fill>
    <fill>
      <patternFill patternType="solid">
        <fgColor rgb="FFF3F6FB"/>
        <bgColor rgb="FFFFFFFF"/>
      </patternFill>
    </fill>
    <fill>
      <patternFill patternType="solid">
        <fgColor rgb="FFDCE9FA"/>
        <bgColor rgb="FFF3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8D2"/>
      </left>
      <right style="thin">
        <color rgb="FFD9D8D2"/>
      </right>
      <top style="thin">
        <color rgb="FFD9D8D2"/>
      </top>
      <bottom style="thin">
        <color rgb="FFD9D8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8D2"/>
      <rgbColor rgb="FF878787"/>
      <rgbColor rgb="FF9999FF"/>
      <rgbColor rgb="FF993366"/>
      <rgbColor rgb="FFF3F6FB"/>
      <rgbColor rgb="FFDCE9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F5E5A"/>
      <rgbColor rgb="FF969696"/>
      <rgbColor rgb="FF003366"/>
      <rgbColor rgb="FF1BAF7A"/>
      <rgbColor rgb="FF003300"/>
      <rgbColor rgb="FF333300"/>
      <rgbColor rgb="FF993300"/>
      <rgbColor rgb="FF993366"/>
      <rgbColor rgb="FF333399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Network lifetime (rounds)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Comparison!D4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Comparison!$A$5:$A$15</c:f>
              <c:strCache>
                <c:ptCount val="11"/>
                <c:pt idx="0">
                  <c:v>LEACH</c:v>
                </c:pt>
                <c:pt idx="1">
                  <c:v>HEED</c:v>
                </c:pt>
                <c:pt idx="2">
                  <c:v>HEED + fairness</c:v>
                </c:pt>
                <c:pt idx="3">
                  <c:v>PEGASIS</c:v>
                </c:pt>
                <c:pt idx="4">
                  <c:v>SH-LEACH</c:v>
                </c:pt>
                <c:pt idx="5">
                  <c:v>SH-LEACH+</c:v>
                </c:pt>
                <c:pt idx="6">
                  <c:v>H-LEACH</c:v>
                </c:pt>
                <c:pt idx="7">
                  <c:v>H-LEACH+</c:v>
                </c:pt>
                <c:pt idx="8">
                  <c:v>EECH-HEED</c:v>
                </c:pt>
                <c:pt idx="9">
                  <c:v>EECH-HEED+</c:v>
                </c:pt>
                <c:pt idx="10">
                  <c:v>v8-Chain</c:v>
                </c:pt>
              </c:strCache>
            </c:strRef>
          </c:cat>
          <c:val>
            <c:numRef>
              <c:f>Comparison!$D$5:$D$15</c:f>
              <c:numCache>
                <c:formatCode>#,##0</c:formatCode>
                <c:ptCount val="11"/>
                <c:pt idx="0">
                  <c:v>1383</c:v>
                </c:pt>
                <c:pt idx="1">
                  <c:v>634</c:v>
                </c:pt>
                <c:pt idx="2">
                  <c:v>743</c:v>
                </c:pt>
                <c:pt idx="3">
                  <c:v>1324</c:v>
                </c:pt>
                <c:pt idx="4">
                  <c:v>647</c:v>
                </c:pt>
                <c:pt idx="5">
                  <c:v>1480</c:v>
                </c:pt>
                <c:pt idx="6">
                  <c:v>1384</c:v>
                </c:pt>
                <c:pt idx="7">
                  <c:v>1473</c:v>
                </c:pt>
                <c:pt idx="8">
                  <c:v>1311</c:v>
                </c:pt>
                <c:pt idx="9">
                  <c:v>1368</c:v>
                </c:pt>
                <c:pt idx="10">
                  <c:v>2501</c:v>
                </c:pt>
              </c:numCache>
            </c:numRef>
          </c:val>
        </c:ser>
        <c:ser>
          <c:idx val="1"/>
          <c:order val="1"/>
          <c:tx>
            <c:strRef>
              <c:f>Comparison!E4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Comparison!$A$5:$A$15</c:f>
              <c:strCache>
                <c:ptCount val="11"/>
                <c:pt idx="0">
                  <c:v>LEACH</c:v>
                </c:pt>
                <c:pt idx="1">
                  <c:v>HEED</c:v>
                </c:pt>
                <c:pt idx="2">
                  <c:v>HEED + fairness</c:v>
                </c:pt>
                <c:pt idx="3">
                  <c:v>PEGASIS</c:v>
                </c:pt>
                <c:pt idx="4">
                  <c:v>SH-LEACH</c:v>
                </c:pt>
                <c:pt idx="5">
                  <c:v>SH-LEACH+</c:v>
                </c:pt>
                <c:pt idx="6">
                  <c:v>H-LEACH</c:v>
                </c:pt>
                <c:pt idx="7">
                  <c:v>H-LEACH+</c:v>
                </c:pt>
                <c:pt idx="8">
                  <c:v>EECH-HEED</c:v>
                </c:pt>
                <c:pt idx="9">
                  <c:v>EECH-HEED+</c:v>
                </c:pt>
                <c:pt idx="10">
                  <c:v>v8-Chain</c:v>
                </c:pt>
              </c:strCache>
            </c:strRef>
          </c:cat>
          <c:val>
            <c:numRef>
              <c:f>Comparison!$E$5:$E$15</c:f>
              <c:numCache>
                <c:formatCode>#,##0</c:formatCode>
                <c:ptCount val="11"/>
                <c:pt idx="0">
                  <c:v>1586</c:v>
                </c:pt>
                <c:pt idx="1">
                  <c:v>1216</c:v>
                </c:pt>
                <c:pt idx="2">
                  <c:v>1154</c:v>
                </c:pt>
                <c:pt idx="3">
                  <c:v>2352</c:v>
                </c:pt>
                <c:pt idx="4">
                  <c:v>702</c:v>
                </c:pt>
                <c:pt idx="5">
                  <c:v>1542</c:v>
                </c:pt>
                <c:pt idx="6">
                  <c:v>1419</c:v>
                </c:pt>
                <c:pt idx="7">
                  <c:v>1509</c:v>
                </c:pt>
                <c:pt idx="8">
                  <c:v>1382</c:v>
                </c:pt>
                <c:pt idx="9">
                  <c:v>1385</c:v>
                </c:pt>
                <c:pt idx="10">
                  <c:v>2589</c:v>
                </c:pt>
              </c:numCache>
            </c:numRef>
          </c:val>
        </c:ser>
        <c:ser>
          <c:idx val="2"/>
          <c:order val="2"/>
          <c:tx>
            <c:strRef>
              <c:f>Comparison!F4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Comparison!$A$5:$A$15</c:f>
              <c:strCache>
                <c:ptCount val="11"/>
                <c:pt idx="0">
                  <c:v>LEACH</c:v>
                </c:pt>
                <c:pt idx="1">
                  <c:v>HEED</c:v>
                </c:pt>
                <c:pt idx="2">
                  <c:v>HEED + fairness</c:v>
                </c:pt>
                <c:pt idx="3">
                  <c:v>PEGASIS</c:v>
                </c:pt>
                <c:pt idx="4">
                  <c:v>SH-LEACH</c:v>
                </c:pt>
                <c:pt idx="5">
                  <c:v>SH-LEACH+</c:v>
                </c:pt>
                <c:pt idx="6">
                  <c:v>H-LEACH</c:v>
                </c:pt>
                <c:pt idx="7">
                  <c:v>H-LEACH+</c:v>
                </c:pt>
                <c:pt idx="8">
                  <c:v>EECH-HEED</c:v>
                </c:pt>
                <c:pt idx="9">
                  <c:v>EECH-HEED+</c:v>
                </c:pt>
                <c:pt idx="10">
                  <c:v>v8-Chain</c:v>
                </c:pt>
              </c:strCache>
            </c:strRef>
          </c:cat>
          <c:val>
            <c:numRef>
              <c:f>Comparison!$F$5:$F$15</c:f>
              <c:numCache>
                <c:formatCode>#,##0</c:formatCode>
                <c:ptCount val="11"/>
                <c:pt idx="0">
                  <c:v>1842</c:v>
                </c:pt>
                <c:pt idx="1">
                  <c:v>1883</c:v>
                </c:pt>
                <c:pt idx="2">
                  <c:v>1960</c:v>
                </c:pt>
                <c:pt idx="3">
                  <c:v>3504</c:v>
                </c:pt>
                <c:pt idx="4">
                  <c:v>721</c:v>
                </c:pt>
                <c:pt idx="5">
                  <c:v>1558</c:v>
                </c:pt>
                <c:pt idx="6">
                  <c:v>1434</c:v>
                </c:pt>
                <c:pt idx="7">
                  <c:v>1525</c:v>
                </c:pt>
                <c:pt idx="8">
                  <c:v>1545</c:v>
                </c:pt>
                <c:pt idx="9">
                  <c:v>1767</c:v>
                </c:pt>
                <c:pt idx="10">
                  <c:v>2631</c:v>
                </c:pt>
              </c:numCache>
            </c:numRef>
          </c:val>
        </c:ser>
        <c:gapWidth val="150"/>
        <c:overlap val="0"/>
        <c:axId val="89229517"/>
        <c:axId val="83126491"/>
      </c:barChart>
      <c:catAx>
        <c:axId val="892295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26491"/>
        <c:crosses val="autoZero"/>
        <c:auto val="1"/>
        <c:lblAlgn val="ctr"/>
        <c:lblOffset val="100"/>
        <c:noMultiLvlLbl val="0"/>
      </c:catAx>
      <c:valAx>
        <c:axId val="831264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2295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Proposed protocol — lifetime per version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Evolution!D4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Evolution!$A$5:$A$22</c:f>
              <c:strCache>
                <c:ptCount val="18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v5b</c:v>
                </c:pt>
                <c:pt idx="8">
                  <c:v>v6 (centre)</c:v>
                </c:pt>
                <c:pt idx="9">
                  <c:v>v6 (far BS)</c:v>
                </c:pt>
                <c:pt idx="10">
                  <c:v>v7 (centre)</c:v>
                </c:pt>
                <c:pt idx="11">
                  <c:v>v7 (far BS)</c:v>
                </c:pt>
                <c:pt idx="12">
                  <c:v>v7.1</c:v>
                </c:pt>
                <c:pt idx="13">
                  <c:v>v7.2</c:v>
                </c:pt>
                <c:pt idx="14">
                  <c:v>v8 (centre)</c:v>
                </c:pt>
                <c:pt idx="15">
                  <c:v>v8 (far BS)</c:v>
                </c:pt>
                <c:pt idx="16">
                  <c:v>v8-Chain (centre)</c:v>
                </c:pt>
                <c:pt idx="17">
                  <c:v>v8-Chain (far BS)</c:v>
                </c:pt>
              </c:strCache>
            </c:strRef>
          </c:cat>
          <c:val>
            <c:numRef>
              <c:f>Evolution!$D$5:$D$22</c:f>
              <c:numCache>
                <c:formatCode>#,##0</c:formatCode>
                <c:ptCount val="18"/>
                <c:pt idx="0">
                  <c:v>322</c:v>
                </c:pt>
                <c:pt idx="1">
                  <c:v>338</c:v>
                </c:pt>
                <c:pt idx="2">
                  <c:v>1645</c:v>
                </c:pt>
                <c:pt idx="3">
                  <c:v>1438</c:v>
                </c:pt>
                <c:pt idx="4">
                  <c:v>1438</c:v>
                </c:pt>
                <c:pt idx="5">
                  <c:v>1645</c:v>
                </c:pt>
                <c:pt idx="6">
                  <c:v>1540</c:v>
                </c:pt>
                <c:pt idx="7">
                  <c:v>1645</c:v>
                </c:pt>
                <c:pt idx="8">
                  <c:v>1415</c:v>
                </c:pt>
                <c:pt idx="9">
                  <c:v>1409</c:v>
                </c:pt>
                <c:pt idx="10">
                  <c:v>1415</c:v>
                </c:pt>
                <c:pt idx="11">
                  <c:v>1409</c:v>
                </c:pt>
                <c:pt idx="12">
                  <c:v>1471</c:v>
                </c:pt>
                <c:pt idx="13">
                  <c:v>1421</c:v>
                </c:pt>
                <c:pt idx="14">
                  <c:v>2501</c:v>
                </c:pt>
                <c:pt idx="15">
                  <c:v>1441</c:v>
                </c:pt>
                <c:pt idx="16">
                  <c:v>2501</c:v>
                </c:pt>
                <c:pt idx="17">
                  <c:v>1671</c:v>
                </c:pt>
              </c:numCache>
            </c:numRef>
          </c:val>
        </c:ser>
        <c:ser>
          <c:idx val="1"/>
          <c:order val="1"/>
          <c:tx>
            <c:strRef>
              <c:f>Evolution!E4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Evolution!$A$5:$A$22</c:f>
              <c:strCache>
                <c:ptCount val="18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v5b</c:v>
                </c:pt>
                <c:pt idx="8">
                  <c:v>v6 (centre)</c:v>
                </c:pt>
                <c:pt idx="9">
                  <c:v>v6 (far BS)</c:v>
                </c:pt>
                <c:pt idx="10">
                  <c:v>v7 (centre)</c:v>
                </c:pt>
                <c:pt idx="11">
                  <c:v>v7 (far BS)</c:v>
                </c:pt>
                <c:pt idx="12">
                  <c:v>v7.1</c:v>
                </c:pt>
                <c:pt idx="13">
                  <c:v>v7.2</c:v>
                </c:pt>
                <c:pt idx="14">
                  <c:v>v8 (centre)</c:v>
                </c:pt>
                <c:pt idx="15">
                  <c:v>v8 (far BS)</c:v>
                </c:pt>
                <c:pt idx="16">
                  <c:v>v8-Chain (centre)</c:v>
                </c:pt>
                <c:pt idx="17">
                  <c:v>v8-Chain (far BS)</c:v>
                </c:pt>
              </c:strCache>
            </c:strRef>
          </c:cat>
          <c:val>
            <c:numRef>
              <c:f>Evolution!$E$5:$E$22</c:f>
              <c:numCache>
                <c:formatCode>#,##0</c:formatCode>
                <c:ptCount val="18"/>
                <c:pt idx="0">
                  <c:v>530</c:v>
                </c:pt>
                <c:pt idx="1">
                  <c:v>528</c:v>
                </c:pt>
                <c:pt idx="2">
                  <c:v>2011</c:v>
                </c:pt>
                <c:pt idx="3">
                  <c:v>2206</c:v>
                </c:pt>
                <c:pt idx="4">
                  <c:v>2131</c:v>
                </c:pt>
                <c:pt idx="5">
                  <c:v>2006</c:v>
                </c:pt>
                <c:pt idx="6">
                  <c:v>2091</c:v>
                </c:pt>
                <c:pt idx="7">
                  <c:v>2011</c:v>
                </c:pt>
                <c:pt idx="8">
                  <c:v>1916</c:v>
                </c:pt>
                <c:pt idx="9">
                  <c:v>1824</c:v>
                </c:pt>
                <c:pt idx="10">
                  <c:v>1911</c:v>
                </c:pt>
                <c:pt idx="11">
                  <c:v>1801</c:v>
                </c:pt>
                <c:pt idx="12">
                  <c:v>1916</c:v>
                </c:pt>
                <c:pt idx="13">
                  <c:v>1991</c:v>
                </c:pt>
                <c:pt idx="14">
                  <c:v>2589</c:v>
                </c:pt>
                <c:pt idx="15">
                  <c:v>1596</c:v>
                </c:pt>
                <c:pt idx="16">
                  <c:v>2589</c:v>
                </c:pt>
                <c:pt idx="17">
                  <c:v>1851</c:v>
                </c:pt>
              </c:numCache>
            </c:numRef>
          </c:val>
        </c:ser>
        <c:ser>
          <c:idx val="2"/>
          <c:order val="2"/>
          <c:tx>
            <c:strRef>
              <c:f>Evolution!F4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Evolution!$A$5:$A$22</c:f>
              <c:strCache>
                <c:ptCount val="18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v5b</c:v>
                </c:pt>
                <c:pt idx="8">
                  <c:v>v6 (centre)</c:v>
                </c:pt>
                <c:pt idx="9">
                  <c:v>v6 (far BS)</c:v>
                </c:pt>
                <c:pt idx="10">
                  <c:v>v7 (centre)</c:v>
                </c:pt>
                <c:pt idx="11">
                  <c:v>v7 (far BS)</c:v>
                </c:pt>
                <c:pt idx="12">
                  <c:v>v7.1</c:v>
                </c:pt>
                <c:pt idx="13">
                  <c:v>v7.2</c:v>
                </c:pt>
                <c:pt idx="14">
                  <c:v>v8 (centre)</c:v>
                </c:pt>
                <c:pt idx="15">
                  <c:v>v8 (far BS)</c:v>
                </c:pt>
                <c:pt idx="16">
                  <c:v>v8-Chain (centre)</c:v>
                </c:pt>
                <c:pt idx="17">
                  <c:v>v8-Chain (far BS)</c:v>
                </c:pt>
              </c:strCache>
            </c:strRef>
          </c:cat>
          <c:val>
            <c:numRef>
              <c:f>Evolution!$F$5:$F$22</c:f>
              <c:numCache>
                <c:formatCode>#,##0</c:formatCode>
                <c:ptCount val="18"/>
                <c:pt idx="0">
                  <c:v>1217</c:v>
                </c:pt>
                <c:pt idx="1">
                  <c:v>1276</c:v>
                </c:pt>
                <c:pt idx="2">
                  <c:v>2205</c:v>
                </c:pt>
                <c:pt idx="3">
                  <c:v>2476</c:v>
                </c:pt>
                <c:pt idx="4">
                  <c:v>2401</c:v>
                </c:pt>
                <c:pt idx="5">
                  <c:v>2101</c:v>
                </c:pt>
                <c:pt idx="6">
                  <c:v>2251</c:v>
                </c:pt>
                <c:pt idx="7">
                  <c:v>2106</c:v>
                </c:pt>
                <c:pt idx="8">
                  <c:v>2016</c:v>
                </c:pt>
                <c:pt idx="9">
                  <c:v>1936</c:v>
                </c:pt>
                <c:pt idx="10">
                  <c:v>2001</c:v>
                </c:pt>
                <c:pt idx="11">
                  <c:v>1906</c:v>
                </c:pt>
                <c:pt idx="12">
                  <c:v>2006</c:v>
                </c:pt>
                <c:pt idx="13">
                  <c:v>2193</c:v>
                </c:pt>
                <c:pt idx="14">
                  <c:v>2636</c:v>
                </c:pt>
                <c:pt idx="15">
                  <c:v>1646</c:v>
                </c:pt>
                <c:pt idx="16">
                  <c:v>2631</c:v>
                </c:pt>
                <c:pt idx="17">
                  <c:v>1906</c:v>
                </c:pt>
              </c:numCache>
            </c:numRef>
          </c:val>
        </c:ser>
        <c:gapWidth val="150"/>
        <c:overlap val="0"/>
        <c:axId val="5656242"/>
        <c:axId val="41057891"/>
      </c:barChart>
      <c:catAx>
        <c:axId val="56562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057891"/>
        <c:crosses val="autoZero"/>
        <c:auto val="1"/>
        <c:lblAlgn val="ctr"/>
        <c:lblOffset val="100"/>
        <c:noMultiLvlLbl val="0"/>
      </c:catAx>
      <c:valAx>
        <c:axId val="410578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62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Ablation — lifetime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Ablation!C4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Ablation!$B$5:$B$10</c:f>
              <c:strCache>
                <c:ptCount val="6"/>
                <c:pt idx="0">
                  <c:v>— (full v8)</c:v>
                </c:pt>
                <c:pt idx="1">
                  <c:v>I1 epoch-exhaustion fix</c:v>
                </c:pt>
                <c:pt idx="2">
                  <c:v>I2 proactive CH handover</c:v>
                </c:pt>
                <c:pt idx="3">
                  <c:v>I3 orphan re-join</c:v>
                </c:pt>
                <c:pt idx="4">
                  <c:v>I4 direct-to-BS</c:v>
                </c:pt>
                <c:pt idx="5">
                  <c:v>I5 energy-gated election</c:v>
                </c:pt>
              </c:strCache>
            </c:strRef>
          </c:cat>
          <c:val>
            <c:numRef>
              <c:f>Ablation!$C$5:$C$10</c:f>
              <c:numCache>
                <c:formatCode>#,##0</c:formatCode>
                <c:ptCount val="6"/>
                <c:pt idx="0">
                  <c:v>2501</c:v>
                </c:pt>
                <c:pt idx="1">
                  <c:v>2501</c:v>
                </c:pt>
                <c:pt idx="2">
                  <c:v>2496</c:v>
                </c:pt>
                <c:pt idx="3">
                  <c:v>2501</c:v>
                </c:pt>
                <c:pt idx="4">
                  <c:v>1766</c:v>
                </c:pt>
                <c:pt idx="5">
                  <c:v>2106</c:v>
                </c:pt>
              </c:numCache>
            </c:numRef>
          </c:val>
        </c:ser>
        <c:ser>
          <c:idx val="1"/>
          <c:order val="1"/>
          <c:tx>
            <c:strRef>
              <c:f>Ablation!D4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Ablation!$B$5:$B$10</c:f>
              <c:strCache>
                <c:ptCount val="6"/>
                <c:pt idx="0">
                  <c:v>— (full v8)</c:v>
                </c:pt>
                <c:pt idx="1">
                  <c:v>I1 epoch-exhaustion fix</c:v>
                </c:pt>
                <c:pt idx="2">
                  <c:v>I2 proactive CH handover</c:v>
                </c:pt>
                <c:pt idx="3">
                  <c:v>I3 orphan re-join</c:v>
                </c:pt>
                <c:pt idx="4">
                  <c:v>I4 direct-to-BS</c:v>
                </c:pt>
                <c:pt idx="5">
                  <c:v>I5 energy-gated election</c:v>
                </c:pt>
              </c:strCache>
            </c:strRef>
          </c:cat>
          <c:val>
            <c:numRef>
              <c:f>Ablation!$D$5:$D$10</c:f>
              <c:numCache>
                <c:formatCode>#,##0</c:formatCode>
                <c:ptCount val="6"/>
                <c:pt idx="0">
                  <c:v>2589</c:v>
                </c:pt>
                <c:pt idx="1">
                  <c:v>2589</c:v>
                </c:pt>
                <c:pt idx="2">
                  <c:v>2581</c:v>
                </c:pt>
                <c:pt idx="3">
                  <c:v>2586</c:v>
                </c:pt>
                <c:pt idx="4">
                  <c:v>1946</c:v>
                </c:pt>
                <c:pt idx="5">
                  <c:v>2516</c:v>
                </c:pt>
              </c:numCache>
            </c:numRef>
          </c:val>
        </c:ser>
        <c:ser>
          <c:idx val="2"/>
          <c:order val="2"/>
          <c:tx>
            <c:strRef>
              <c:f>Ablation!E4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Ablation!$B$5:$B$10</c:f>
              <c:strCache>
                <c:ptCount val="6"/>
                <c:pt idx="0">
                  <c:v>— (full v8)</c:v>
                </c:pt>
                <c:pt idx="1">
                  <c:v>I1 epoch-exhaustion fix</c:v>
                </c:pt>
                <c:pt idx="2">
                  <c:v>I2 proactive CH handover</c:v>
                </c:pt>
                <c:pt idx="3">
                  <c:v>I3 orphan re-join</c:v>
                </c:pt>
                <c:pt idx="4">
                  <c:v>I4 direct-to-BS</c:v>
                </c:pt>
                <c:pt idx="5">
                  <c:v>I5 energy-gated election</c:v>
                </c:pt>
              </c:strCache>
            </c:strRef>
          </c:cat>
          <c:val>
            <c:numRef>
              <c:f>Ablation!$E$5:$E$10</c:f>
              <c:numCache>
                <c:formatCode>#,##0</c:formatCode>
                <c:ptCount val="6"/>
                <c:pt idx="0">
                  <c:v>2636</c:v>
                </c:pt>
                <c:pt idx="1">
                  <c:v>2636</c:v>
                </c:pt>
                <c:pt idx="2">
                  <c:v>2641</c:v>
                </c:pt>
                <c:pt idx="3">
                  <c:v>2626</c:v>
                </c:pt>
                <c:pt idx="4">
                  <c:v>2021</c:v>
                </c:pt>
                <c:pt idx="5">
                  <c:v>2616</c:v>
                </c:pt>
              </c:numCache>
            </c:numRef>
          </c:val>
        </c:ser>
        <c:gapWidth val="150"/>
        <c:overlap val="0"/>
        <c:axId val="94970449"/>
        <c:axId val="37593461"/>
      </c:barChart>
      <c:catAx>
        <c:axId val="949704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93461"/>
        <c:crosses val="autoZero"/>
        <c:auto val="1"/>
        <c:lblAlgn val="ctr"/>
        <c:lblOffset val="100"/>
        <c:noMultiLvlLbl val="0"/>
      </c:catAx>
      <c:valAx>
        <c:axId val="375934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704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21</xdr:col>
      <xdr:colOff>354960</xdr:colOff>
      <xdr:row>18</xdr:row>
      <xdr:rowOff>172440</xdr:rowOff>
    </xdr:to>
    <xdr:graphicFrame>
      <xdr:nvGraphicFramePr>
        <xdr:cNvPr id="0" name="Chart 1"/>
        <xdr:cNvGraphicFramePr/>
      </xdr:nvGraphicFramePr>
      <xdr:xfrm>
        <a:off x="11489040" y="571680"/>
        <a:ext cx="79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160920</xdr:rowOff>
    </xdr:from>
    <xdr:to>
      <xdr:col>21</xdr:col>
      <xdr:colOff>387360</xdr:colOff>
      <xdr:row>18</xdr:row>
      <xdr:rowOff>172440</xdr:rowOff>
    </xdr:to>
    <xdr:graphicFrame>
      <xdr:nvGraphicFramePr>
        <xdr:cNvPr id="1" name="Chart 1"/>
        <xdr:cNvGraphicFramePr/>
      </xdr:nvGraphicFramePr>
      <xdr:xfrm>
        <a:off x="11409120" y="571680"/>
        <a:ext cx="86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18</xdr:col>
      <xdr:colOff>322920</xdr:colOff>
      <xdr:row>18</xdr:row>
      <xdr:rowOff>172440</xdr:rowOff>
    </xdr:to>
    <xdr:graphicFrame>
      <xdr:nvGraphicFramePr>
        <xdr:cNvPr id="2" name="Chart 1"/>
        <xdr:cNvGraphicFramePr/>
      </xdr:nvGraphicFramePr>
      <xdr:xfrm>
        <a:off x="8448840" y="571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6" customFormat="false" ht="15" hidden="false" customHeight="false" outlineLevel="0" collapsed="false">
      <c r="A16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6" min="3" style="0" width="1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5" t="s">
        <v>15</v>
      </c>
    </row>
    <row r="4" customFormat="false" ht="15" hidden="false" customHeight="false" outlineLevel="0" collapsed="false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</row>
    <row r="5" customFormat="false" ht="15" hidden="false" customHeight="false" outlineLevel="0" collapsed="false">
      <c r="A5" s="7" t="s">
        <v>22</v>
      </c>
      <c r="B5" s="7" t="s">
        <v>23</v>
      </c>
      <c r="C5" s="8" t="n">
        <v>1121</v>
      </c>
      <c r="D5" s="8" t="n">
        <v>1954</v>
      </c>
      <c r="E5" s="8" t="n">
        <v>3783</v>
      </c>
      <c r="F5" s="9" t="n">
        <v>0.997831</v>
      </c>
    </row>
    <row r="6" customFormat="false" ht="15" hidden="false" customHeight="false" outlineLevel="0" collapsed="false">
      <c r="A6" s="10" t="s">
        <v>22</v>
      </c>
      <c r="B6" s="10" t="s">
        <v>24</v>
      </c>
      <c r="C6" s="11" t="n">
        <v>734</v>
      </c>
      <c r="D6" s="11" t="n">
        <v>1384</v>
      </c>
      <c r="E6" s="11" t="n">
        <v>2259</v>
      </c>
      <c r="F6" s="12" t="n">
        <v>0.997956</v>
      </c>
    </row>
    <row r="7" customFormat="false" ht="15" hidden="false" customHeight="false" outlineLevel="0" collapsed="false">
      <c r="A7" s="7" t="s">
        <v>22</v>
      </c>
      <c r="B7" s="7" t="s">
        <v>25</v>
      </c>
      <c r="C7" s="8" t="n">
        <v>1078</v>
      </c>
      <c r="D7" s="8" t="n">
        <v>1157</v>
      </c>
      <c r="E7" s="8" t="n">
        <v>1207</v>
      </c>
      <c r="F7" s="9" t="n">
        <v>0.950353</v>
      </c>
    </row>
    <row r="8" customFormat="false" ht="15" hidden="false" customHeight="false" outlineLevel="0" collapsed="false">
      <c r="A8" s="10" t="s">
        <v>22</v>
      </c>
      <c r="B8" s="10" t="s">
        <v>26</v>
      </c>
      <c r="C8" s="11" t="n">
        <v>1035</v>
      </c>
      <c r="D8" s="11" t="n">
        <v>1152</v>
      </c>
      <c r="E8" s="11" t="n">
        <v>1327</v>
      </c>
      <c r="F8" s="12" t="n">
        <v>0.986211</v>
      </c>
    </row>
    <row r="9" customFormat="false" ht="15" hidden="false" customHeight="false" outlineLevel="0" collapsed="false">
      <c r="A9" s="7" t="s">
        <v>22</v>
      </c>
      <c r="B9" s="7" t="s">
        <v>27</v>
      </c>
      <c r="C9" s="8" t="n">
        <v>1616</v>
      </c>
      <c r="D9" s="8" t="n">
        <v>2017</v>
      </c>
      <c r="E9" s="8" t="n">
        <v>2186</v>
      </c>
      <c r="F9" s="9" t="n">
        <v>0.988595</v>
      </c>
    </row>
    <row r="10" customFormat="false" ht="15" hidden="false" customHeight="false" outlineLevel="0" collapsed="false">
      <c r="A10" s="10" t="s">
        <v>22</v>
      </c>
      <c r="B10" s="10" t="s">
        <v>28</v>
      </c>
      <c r="C10" s="11" t="n">
        <v>484</v>
      </c>
      <c r="D10" s="11" t="n">
        <v>583</v>
      </c>
      <c r="E10" s="11" t="n">
        <v>689</v>
      </c>
      <c r="F10" s="12" t="n">
        <v>0.996585</v>
      </c>
    </row>
    <row r="11" customFormat="false" ht="15" hidden="false" customHeight="false" outlineLevel="0" collapsed="false">
      <c r="A11" s="7" t="s">
        <v>29</v>
      </c>
      <c r="B11" s="7" t="s">
        <v>30</v>
      </c>
      <c r="C11" s="8" t="n">
        <v>1311</v>
      </c>
      <c r="D11" s="8" t="n">
        <v>1382</v>
      </c>
      <c r="E11" s="8" t="n">
        <v>1545</v>
      </c>
      <c r="F11" s="9" t="n">
        <v>0.9974</v>
      </c>
    </row>
    <row r="12" customFormat="false" ht="15" hidden="false" customHeight="false" outlineLevel="0" collapsed="false">
      <c r="A12" s="10" t="s">
        <v>29</v>
      </c>
      <c r="B12" s="10" t="s">
        <v>31</v>
      </c>
      <c r="C12" s="11" t="n">
        <v>634</v>
      </c>
      <c r="D12" s="11" t="n">
        <v>1216</v>
      </c>
      <c r="E12" s="11" t="n">
        <v>1883</v>
      </c>
      <c r="F12" s="12" t="n">
        <v>0.996845</v>
      </c>
    </row>
    <row r="13" customFormat="false" ht="15" hidden="false" customHeight="false" outlineLevel="0" collapsed="false">
      <c r="A13" s="7" t="s">
        <v>29</v>
      </c>
      <c r="B13" s="7" t="s">
        <v>32</v>
      </c>
      <c r="C13" s="8" t="n">
        <v>743</v>
      </c>
      <c r="D13" s="8" t="n">
        <v>1154</v>
      </c>
      <c r="E13" s="8" t="n">
        <v>1960</v>
      </c>
      <c r="F13" s="9" t="n">
        <v>0.997395</v>
      </c>
    </row>
    <row r="14" customFormat="false" ht="15" hidden="false" customHeight="false" outlineLevel="0" collapsed="false">
      <c r="A14" s="10" t="s">
        <v>29</v>
      </c>
      <c r="B14" s="10" t="s">
        <v>33</v>
      </c>
      <c r="C14" s="11" t="n">
        <v>1384</v>
      </c>
      <c r="D14" s="11" t="n">
        <v>1419</v>
      </c>
      <c r="E14" s="11" t="n">
        <v>1434</v>
      </c>
      <c r="F14" s="12" t="n">
        <v>0.992968</v>
      </c>
    </row>
    <row r="15" customFormat="false" ht="15" hidden="false" customHeight="false" outlineLevel="0" collapsed="false">
      <c r="A15" s="7" t="s">
        <v>29</v>
      </c>
      <c r="B15" s="7" t="s">
        <v>34</v>
      </c>
      <c r="C15" s="8" t="n">
        <v>1383</v>
      </c>
      <c r="D15" s="8" t="n">
        <v>1586</v>
      </c>
      <c r="E15" s="8" t="n">
        <v>1842</v>
      </c>
      <c r="F15" s="9" t="n">
        <v>0.993952</v>
      </c>
    </row>
    <row r="16" customFormat="false" ht="15" hidden="false" customHeight="false" outlineLevel="0" collapsed="false">
      <c r="A16" s="10" t="s">
        <v>29</v>
      </c>
      <c r="B16" s="10" t="s">
        <v>35</v>
      </c>
      <c r="C16" s="11" t="n">
        <v>1324</v>
      </c>
      <c r="D16" s="11" t="n">
        <v>2352</v>
      </c>
      <c r="E16" s="11" t="n">
        <v>3504</v>
      </c>
      <c r="F16" s="12" t="n">
        <v>0.994186</v>
      </c>
    </row>
    <row r="17" customFormat="false" ht="15" hidden="false" customHeight="false" outlineLevel="0" collapsed="false">
      <c r="A17" s="7" t="s">
        <v>29</v>
      </c>
      <c r="B17" s="7" t="s">
        <v>36</v>
      </c>
      <c r="C17" s="8" t="n">
        <v>647</v>
      </c>
      <c r="D17" s="8" t="n">
        <v>702</v>
      </c>
      <c r="E17" s="8" t="n">
        <v>721</v>
      </c>
      <c r="F17" s="9" t="n">
        <v>0.985844</v>
      </c>
    </row>
    <row r="18" customFormat="false" ht="15" hidden="false" customHeight="false" outlineLevel="0" collapsed="false">
      <c r="A18" s="10" t="s">
        <v>37</v>
      </c>
      <c r="B18" s="10" t="s">
        <v>38</v>
      </c>
      <c r="C18" s="11" t="n">
        <v>1368</v>
      </c>
      <c r="D18" s="11" t="n">
        <v>1385</v>
      </c>
      <c r="E18" s="11" t="n">
        <v>1767</v>
      </c>
      <c r="F18" s="12" t="n">
        <v>0.995064</v>
      </c>
    </row>
    <row r="19" customFormat="false" ht="15" hidden="false" customHeight="false" outlineLevel="0" collapsed="false">
      <c r="A19" s="7" t="s">
        <v>37</v>
      </c>
      <c r="B19" s="7" t="s">
        <v>39</v>
      </c>
      <c r="C19" s="8" t="n">
        <v>1473</v>
      </c>
      <c r="D19" s="8" t="n">
        <v>1509</v>
      </c>
      <c r="E19" s="8" t="n">
        <v>1525</v>
      </c>
      <c r="F19" s="9" t="n">
        <v>0.993617</v>
      </c>
    </row>
    <row r="20" customFormat="false" ht="15" hidden="false" customHeight="false" outlineLevel="0" collapsed="false">
      <c r="A20" s="10" t="s">
        <v>37</v>
      </c>
      <c r="B20" s="10" t="s">
        <v>40</v>
      </c>
      <c r="C20" s="11" t="n">
        <v>1480</v>
      </c>
      <c r="D20" s="11" t="n">
        <v>1542</v>
      </c>
      <c r="E20" s="11" t="n">
        <v>1558</v>
      </c>
      <c r="F20" s="12" t="n">
        <v>0.992063</v>
      </c>
    </row>
    <row r="21" customFormat="false" ht="15" hidden="false" customHeight="false" outlineLevel="0" collapsed="false">
      <c r="A21" s="7" t="s">
        <v>41</v>
      </c>
      <c r="B21" s="7" t="s">
        <v>42</v>
      </c>
      <c r="C21" s="8" t="n">
        <v>322</v>
      </c>
      <c r="D21" s="8" t="n">
        <v>530</v>
      </c>
      <c r="E21" s="8" t="n">
        <v>1217</v>
      </c>
      <c r="F21" s="9" t="n">
        <v>0.997502</v>
      </c>
    </row>
    <row r="22" customFormat="false" ht="15" hidden="false" customHeight="false" outlineLevel="0" collapsed="false">
      <c r="A22" s="10" t="s">
        <v>41</v>
      </c>
      <c r="B22" s="10" t="s">
        <v>43</v>
      </c>
      <c r="C22" s="11" t="n">
        <v>338</v>
      </c>
      <c r="D22" s="11" t="n">
        <v>528</v>
      </c>
      <c r="E22" s="11" t="n">
        <v>1276</v>
      </c>
      <c r="F22" s="12" t="n">
        <v>0.996435</v>
      </c>
    </row>
    <row r="23" customFormat="false" ht="15" hidden="false" customHeight="false" outlineLevel="0" collapsed="false">
      <c r="A23" s="7" t="s">
        <v>41</v>
      </c>
      <c r="B23" s="7" t="s">
        <v>44</v>
      </c>
      <c r="C23" s="8" t="n">
        <v>1645</v>
      </c>
      <c r="D23" s="8" t="n">
        <v>2011</v>
      </c>
      <c r="E23" s="8" t="n">
        <v>2205</v>
      </c>
      <c r="F23" s="9" t="n">
        <v>0.982072</v>
      </c>
    </row>
    <row r="24" customFormat="false" ht="15" hidden="false" customHeight="false" outlineLevel="0" collapsed="false">
      <c r="A24" s="10" t="s">
        <v>41</v>
      </c>
      <c r="B24" s="10" t="s">
        <v>45</v>
      </c>
      <c r="C24" s="11" t="n">
        <v>1438</v>
      </c>
      <c r="D24" s="11" t="n">
        <v>2206</v>
      </c>
      <c r="E24" s="11" t="n">
        <v>2476</v>
      </c>
      <c r="F24" s="12" t="n">
        <v>0.959074</v>
      </c>
    </row>
    <row r="25" customFormat="false" ht="15" hidden="false" customHeight="false" outlineLevel="0" collapsed="false">
      <c r="A25" s="7" t="s">
        <v>41</v>
      </c>
      <c r="B25" s="7" t="s">
        <v>46</v>
      </c>
      <c r="C25" s="8" t="n">
        <v>1438</v>
      </c>
      <c r="D25" s="8" t="n">
        <v>2131</v>
      </c>
      <c r="E25" s="8" t="n">
        <v>2401</v>
      </c>
      <c r="F25" s="9" t="n">
        <v>0.984413</v>
      </c>
    </row>
    <row r="26" customFormat="false" ht="15" hidden="false" customHeight="false" outlineLevel="0" collapsed="false">
      <c r="A26" s="10" t="s">
        <v>41</v>
      </c>
      <c r="B26" s="10" t="s">
        <v>47</v>
      </c>
      <c r="C26" s="11" t="n">
        <v>1645</v>
      </c>
      <c r="D26" s="11" t="n">
        <v>2006</v>
      </c>
      <c r="E26" s="11" t="n">
        <v>2101</v>
      </c>
      <c r="F26" s="12" t="n">
        <v>0.98822</v>
      </c>
    </row>
    <row r="27" customFormat="false" ht="15" hidden="false" customHeight="false" outlineLevel="0" collapsed="false">
      <c r="A27" s="7" t="s">
        <v>41</v>
      </c>
      <c r="B27" s="7" t="s">
        <v>48</v>
      </c>
      <c r="C27" s="8" t="n">
        <v>1540</v>
      </c>
      <c r="D27" s="8" t="n">
        <v>2091</v>
      </c>
      <c r="E27" s="8" t="n">
        <v>2251</v>
      </c>
      <c r="F27" s="9" t="n">
        <v>0.986576</v>
      </c>
    </row>
    <row r="28" customFormat="false" ht="15" hidden="false" customHeight="false" outlineLevel="0" collapsed="false">
      <c r="A28" s="10" t="s">
        <v>41</v>
      </c>
      <c r="B28" s="10" t="s">
        <v>49</v>
      </c>
      <c r="C28" s="11" t="n">
        <v>1645</v>
      </c>
      <c r="D28" s="11" t="n">
        <v>2011</v>
      </c>
      <c r="E28" s="11" t="n">
        <v>2106</v>
      </c>
      <c r="F28" s="12" t="n">
        <v>0.985626</v>
      </c>
    </row>
    <row r="29" customFormat="false" ht="15" hidden="false" customHeight="false" outlineLevel="0" collapsed="false">
      <c r="A29" s="7" t="s">
        <v>41</v>
      </c>
      <c r="B29" s="7" t="s">
        <v>50</v>
      </c>
      <c r="C29" s="8" t="n">
        <v>1415</v>
      </c>
      <c r="D29" s="8" t="n">
        <v>1916</v>
      </c>
      <c r="E29" s="8" t="n">
        <v>2016</v>
      </c>
      <c r="F29" s="9" t="n">
        <v>0.987496</v>
      </c>
    </row>
    <row r="30" customFormat="false" ht="15" hidden="false" customHeight="false" outlineLevel="0" collapsed="false">
      <c r="A30" s="10" t="s">
        <v>41</v>
      </c>
      <c r="B30" s="10" t="s">
        <v>51</v>
      </c>
      <c r="C30" s="11" t="n">
        <v>1409</v>
      </c>
      <c r="D30" s="11" t="n">
        <v>1824</v>
      </c>
      <c r="E30" s="11" t="n">
        <v>1936</v>
      </c>
      <c r="F30" s="12" t="n">
        <v>0.977653</v>
      </c>
    </row>
    <row r="31" customFormat="false" ht="15" hidden="false" customHeight="false" outlineLevel="0" collapsed="false">
      <c r="A31" s="7" t="s">
        <v>41</v>
      </c>
      <c r="B31" s="7" t="s">
        <v>52</v>
      </c>
      <c r="C31" s="8" t="n">
        <v>1415</v>
      </c>
      <c r="D31" s="8" t="n">
        <v>1911</v>
      </c>
      <c r="E31" s="8" t="n">
        <v>2001</v>
      </c>
      <c r="F31" s="9" t="n">
        <v>0.991026</v>
      </c>
    </row>
    <row r="32" customFormat="false" ht="15" hidden="false" customHeight="false" outlineLevel="0" collapsed="false">
      <c r="A32" s="10" t="s">
        <v>41</v>
      </c>
      <c r="B32" s="10" t="s">
        <v>53</v>
      </c>
      <c r="C32" s="11" t="n">
        <v>1409</v>
      </c>
      <c r="D32" s="11" t="n">
        <v>1801</v>
      </c>
      <c r="E32" s="11" t="n">
        <v>1906</v>
      </c>
      <c r="F32" s="12" t="n">
        <v>0.989727</v>
      </c>
    </row>
    <row r="33" customFormat="false" ht="15" hidden="false" customHeight="false" outlineLevel="0" collapsed="false">
      <c r="A33" s="7" t="s">
        <v>41</v>
      </c>
      <c r="B33" s="7" t="s">
        <v>54</v>
      </c>
      <c r="C33" s="8" t="n">
        <v>1471</v>
      </c>
      <c r="D33" s="8" t="n">
        <v>1916</v>
      </c>
      <c r="E33" s="8" t="n">
        <v>2006</v>
      </c>
      <c r="F33" s="9" t="n">
        <v>0.990728</v>
      </c>
    </row>
    <row r="34" customFormat="false" ht="15" hidden="false" customHeight="false" outlineLevel="0" collapsed="false">
      <c r="A34" s="10" t="s">
        <v>41</v>
      </c>
      <c r="B34" s="10" t="s">
        <v>55</v>
      </c>
      <c r="C34" s="11" t="n">
        <v>1421</v>
      </c>
      <c r="D34" s="11" t="n">
        <v>1991</v>
      </c>
      <c r="E34" s="11" t="n">
        <v>2193</v>
      </c>
      <c r="F34" s="12" t="n">
        <v>0.982688</v>
      </c>
    </row>
    <row r="35" customFormat="false" ht="15" hidden="false" customHeight="false" outlineLevel="0" collapsed="false">
      <c r="A35" s="7" t="s">
        <v>41</v>
      </c>
      <c r="B35" s="7" t="s">
        <v>56</v>
      </c>
      <c r="C35" s="8" t="n">
        <v>2501</v>
      </c>
      <c r="D35" s="8" t="n">
        <v>2589</v>
      </c>
      <c r="E35" s="8" t="n">
        <v>2636</v>
      </c>
      <c r="F35" s="9" t="n">
        <v>0.996527</v>
      </c>
    </row>
    <row r="36" customFormat="false" ht="15" hidden="false" customHeight="false" outlineLevel="0" collapsed="false">
      <c r="A36" s="10" t="s">
        <v>41</v>
      </c>
      <c r="B36" s="10" t="s">
        <v>57</v>
      </c>
      <c r="C36" s="11" t="n">
        <v>1441</v>
      </c>
      <c r="D36" s="11" t="n">
        <v>1596</v>
      </c>
      <c r="E36" s="11" t="n">
        <v>1646</v>
      </c>
      <c r="F36" s="12" t="n">
        <v>0.994649</v>
      </c>
    </row>
    <row r="37" customFormat="false" ht="15" hidden="false" customHeight="false" outlineLevel="0" collapsed="false">
      <c r="A37" s="7" t="s">
        <v>41</v>
      </c>
      <c r="B37" s="7" t="s">
        <v>58</v>
      </c>
      <c r="C37" s="8" t="n">
        <v>2501</v>
      </c>
      <c r="D37" s="8" t="n">
        <v>2589</v>
      </c>
      <c r="E37" s="8" t="n">
        <v>2631</v>
      </c>
      <c r="F37" s="9" t="n">
        <v>0.996392</v>
      </c>
    </row>
    <row r="38" customFormat="false" ht="15" hidden="false" customHeight="false" outlineLevel="0" collapsed="false">
      <c r="A38" s="10" t="s">
        <v>41</v>
      </c>
      <c r="B38" s="10" t="s">
        <v>59</v>
      </c>
      <c r="C38" s="11" t="n">
        <v>1671</v>
      </c>
      <c r="D38" s="11" t="n">
        <v>1851</v>
      </c>
      <c r="E38" s="11" t="n">
        <v>1906</v>
      </c>
      <c r="F38" s="12" t="n">
        <v>0.993581</v>
      </c>
    </row>
    <row r="39" customFormat="false" ht="15" hidden="false" customHeight="false" outlineLevel="0" collapsed="false">
      <c r="A39" s="7" t="s">
        <v>60</v>
      </c>
      <c r="B39" s="7" t="s">
        <v>61</v>
      </c>
      <c r="C39" s="8" t="n">
        <v>1540</v>
      </c>
      <c r="D39" s="8" t="n">
        <v>2090</v>
      </c>
      <c r="E39" s="8" t="n">
        <v>2291</v>
      </c>
      <c r="F39" s="9" t="n">
        <v>0.985763</v>
      </c>
    </row>
    <row r="40" customFormat="false" ht="15" hidden="false" customHeight="false" outlineLevel="0" collapsed="false">
      <c r="A40" s="10" t="s">
        <v>62</v>
      </c>
      <c r="B40" s="10" t="s">
        <v>63</v>
      </c>
      <c r="C40" s="11" t="n">
        <v>2501</v>
      </c>
      <c r="D40" s="11" t="n">
        <v>2589</v>
      </c>
      <c r="E40" s="11" t="n">
        <v>2636</v>
      </c>
      <c r="F40" s="12" t="n">
        <v>0.996527</v>
      </c>
    </row>
    <row r="41" customFormat="false" ht="15" hidden="false" customHeight="false" outlineLevel="0" collapsed="false">
      <c r="A41" s="7" t="s">
        <v>62</v>
      </c>
      <c r="B41" s="7" t="s">
        <v>64</v>
      </c>
      <c r="C41" s="8" t="n">
        <v>2496</v>
      </c>
      <c r="D41" s="8" t="n">
        <v>2581</v>
      </c>
      <c r="E41" s="8" t="n">
        <v>2641</v>
      </c>
      <c r="F41" s="9" t="n">
        <v>0.996573</v>
      </c>
    </row>
    <row r="42" customFormat="false" ht="15" hidden="false" customHeight="false" outlineLevel="0" collapsed="false">
      <c r="A42" s="10" t="s">
        <v>62</v>
      </c>
      <c r="B42" s="10" t="s">
        <v>65</v>
      </c>
      <c r="C42" s="11" t="n">
        <v>2501</v>
      </c>
      <c r="D42" s="11" t="n">
        <v>2586</v>
      </c>
      <c r="E42" s="11" t="n">
        <v>2626</v>
      </c>
      <c r="F42" s="12" t="n">
        <v>0.997107</v>
      </c>
    </row>
    <row r="43" customFormat="false" ht="15" hidden="false" customHeight="false" outlineLevel="0" collapsed="false">
      <c r="A43" s="7" t="s">
        <v>62</v>
      </c>
      <c r="B43" s="7" t="s">
        <v>66</v>
      </c>
      <c r="C43" s="8" t="n">
        <v>1766</v>
      </c>
      <c r="D43" s="8" t="n">
        <v>1946</v>
      </c>
      <c r="E43" s="8" t="n">
        <v>2021</v>
      </c>
      <c r="F43" s="9" t="n">
        <v>0.994142</v>
      </c>
    </row>
    <row r="44" customFormat="false" ht="15" hidden="false" customHeight="false" outlineLevel="0" collapsed="false">
      <c r="A44" s="10" t="s">
        <v>62</v>
      </c>
      <c r="B44" s="10" t="s">
        <v>67</v>
      </c>
      <c r="C44" s="11" t="n">
        <v>2106</v>
      </c>
      <c r="D44" s="11" t="n">
        <v>2516</v>
      </c>
      <c r="E44" s="11" t="n">
        <v>2616</v>
      </c>
      <c r="F44" s="12" t="n">
        <v>0.997063</v>
      </c>
    </row>
    <row r="45" customFormat="false" ht="15" hidden="false" customHeight="false" outlineLevel="0" collapsed="false">
      <c r="A45" s="7" t="s">
        <v>68</v>
      </c>
      <c r="B45" s="7" t="s">
        <v>69</v>
      </c>
      <c r="C45" s="8" t="n">
        <v>2501</v>
      </c>
      <c r="D45" s="8" t="n">
        <v>2589</v>
      </c>
      <c r="E45" s="8" t="n">
        <v>2636</v>
      </c>
      <c r="F45" s="9" t="n">
        <v>0.996527</v>
      </c>
    </row>
    <row r="46" customFormat="false" ht="15" hidden="false" customHeight="false" outlineLevel="0" collapsed="false">
      <c r="A46" s="10" t="s">
        <v>68</v>
      </c>
      <c r="B46" s="10" t="s">
        <v>70</v>
      </c>
      <c r="C46" s="11" t="n">
        <v>2436</v>
      </c>
      <c r="D46" s="11" t="n">
        <v>2531</v>
      </c>
      <c r="E46" s="11" t="n">
        <v>2561</v>
      </c>
      <c r="F46" s="12" t="n">
        <v>0.996404</v>
      </c>
    </row>
    <row r="47" customFormat="false" ht="15" hidden="false" customHeight="false" outlineLevel="0" collapsed="false">
      <c r="A47" s="7" t="s">
        <v>68</v>
      </c>
      <c r="B47" s="7" t="s">
        <v>71</v>
      </c>
      <c r="C47" s="8" t="n">
        <v>2501</v>
      </c>
      <c r="D47" s="8" t="n">
        <v>2589</v>
      </c>
      <c r="E47" s="8" t="n">
        <v>2631</v>
      </c>
      <c r="F47" s="9" t="n">
        <v>0.996392</v>
      </c>
    </row>
    <row r="48" customFormat="false" ht="15" hidden="false" customHeight="false" outlineLevel="0" collapsed="false">
      <c r="A48" s="10" t="s">
        <v>68</v>
      </c>
      <c r="B48" s="10" t="s">
        <v>72</v>
      </c>
      <c r="C48" s="11" t="n">
        <v>1441</v>
      </c>
      <c r="D48" s="11" t="n">
        <v>1596</v>
      </c>
      <c r="E48" s="11" t="n">
        <v>1646</v>
      </c>
      <c r="F48" s="12" t="n">
        <v>0.994649</v>
      </c>
    </row>
    <row r="49" customFormat="false" ht="15" hidden="false" customHeight="false" outlineLevel="0" collapsed="false">
      <c r="A49" s="7" t="s">
        <v>68</v>
      </c>
      <c r="B49" s="7" t="s">
        <v>73</v>
      </c>
      <c r="C49" s="8" t="n">
        <v>1636</v>
      </c>
      <c r="D49" s="8" t="n">
        <v>1846</v>
      </c>
      <c r="E49" s="8" t="n">
        <v>1891</v>
      </c>
      <c r="F49" s="9" t="n">
        <v>0.994479</v>
      </c>
    </row>
    <row r="50" customFormat="false" ht="15" hidden="false" customHeight="false" outlineLevel="0" collapsed="false">
      <c r="A50" s="10" t="s">
        <v>68</v>
      </c>
      <c r="B50" s="10" t="s">
        <v>74</v>
      </c>
      <c r="C50" s="11" t="n">
        <v>1671</v>
      </c>
      <c r="D50" s="11" t="n">
        <v>1851</v>
      </c>
      <c r="E50" s="11" t="n">
        <v>1906</v>
      </c>
      <c r="F50" s="12" t="n">
        <v>0.993581</v>
      </c>
    </row>
    <row r="51" customFormat="false" ht="15" hidden="false" customHeight="false" outlineLevel="0" collapsed="false">
      <c r="A51" s="7" t="s">
        <v>75</v>
      </c>
      <c r="B51" s="7" t="s">
        <v>76</v>
      </c>
      <c r="C51" s="8" t="n">
        <v>1602</v>
      </c>
      <c r="D51" s="8" t="n">
        <v>2040</v>
      </c>
      <c r="E51" s="8" t="n">
        <v>2126</v>
      </c>
      <c r="F51" s="9" t="n">
        <v>0.984329</v>
      </c>
    </row>
    <row r="52" customFormat="false" ht="15" hidden="false" customHeight="false" outlineLevel="0" collapsed="false">
      <c r="A52" s="10" t="s">
        <v>75</v>
      </c>
      <c r="B52" s="10" t="s">
        <v>77</v>
      </c>
      <c r="C52" s="11" t="n">
        <v>1645</v>
      </c>
      <c r="D52" s="11" t="n">
        <v>2011</v>
      </c>
      <c r="E52" s="11" t="n">
        <v>2106</v>
      </c>
      <c r="F52" s="12" t="n">
        <v>0.985626</v>
      </c>
    </row>
    <row r="53" customFormat="false" ht="15" hidden="false" customHeight="false" outlineLevel="0" collapsed="false">
      <c r="A53" s="7" t="s">
        <v>75</v>
      </c>
      <c r="B53" s="7" t="s">
        <v>78</v>
      </c>
      <c r="C53" s="8" t="n">
        <v>1611</v>
      </c>
      <c r="D53" s="8" t="n">
        <v>2020</v>
      </c>
      <c r="E53" s="8" t="n">
        <v>2201</v>
      </c>
      <c r="F53" s="9" t="n">
        <v>0.980777</v>
      </c>
    </row>
    <row r="54" customFormat="false" ht="15" hidden="false" customHeight="false" outlineLevel="0" collapsed="false">
      <c r="A54" s="10" t="s">
        <v>75</v>
      </c>
      <c r="B54" s="10" t="s">
        <v>79</v>
      </c>
      <c r="C54" s="11" t="n">
        <v>1431</v>
      </c>
      <c r="D54" s="11" t="n">
        <v>2046</v>
      </c>
      <c r="E54" s="11" t="n">
        <v>2211</v>
      </c>
      <c r="F54" s="12" t="n">
        <v>0.983414</v>
      </c>
    </row>
    <row r="55" customFormat="false" ht="15" hidden="false" customHeight="false" outlineLevel="0" collapsed="false">
      <c r="A55" s="7" t="s">
        <v>75</v>
      </c>
      <c r="B55" s="7" t="s">
        <v>80</v>
      </c>
      <c r="C55" s="8" t="n">
        <v>1666</v>
      </c>
      <c r="D55" s="8" t="n">
        <v>2061</v>
      </c>
      <c r="E55" s="8" t="n">
        <v>2302</v>
      </c>
      <c r="F55" s="9" t="n">
        <v>0.980665</v>
      </c>
    </row>
    <row r="56" customFormat="false" ht="15" hidden="false" customHeight="false" outlineLevel="0" collapsed="false">
      <c r="A56" s="10" t="s">
        <v>75</v>
      </c>
      <c r="B56" s="10" t="s">
        <v>81</v>
      </c>
      <c r="C56" s="11" t="n">
        <v>1625</v>
      </c>
      <c r="D56" s="11" t="n">
        <v>2036</v>
      </c>
      <c r="E56" s="11" t="n">
        <v>2121</v>
      </c>
      <c r="F56" s="12" t="n">
        <v>0.981109</v>
      </c>
    </row>
    <row r="57" customFormat="false" ht="15" hidden="false" customHeight="false" outlineLevel="0" collapsed="false">
      <c r="A57" s="7" t="s">
        <v>75</v>
      </c>
      <c r="B57" s="7" t="s">
        <v>82</v>
      </c>
      <c r="C57" s="8" t="n">
        <v>1725</v>
      </c>
      <c r="D57" s="8" t="n">
        <v>2066</v>
      </c>
      <c r="E57" s="8" t="n">
        <v>2701</v>
      </c>
      <c r="F57" s="9" t="n">
        <v>0.973292</v>
      </c>
    </row>
    <row r="58" customFormat="false" ht="15" hidden="false" customHeight="false" outlineLevel="0" collapsed="false">
      <c r="A58" s="10" t="s">
        <v>75</v>
      </c>
      <c r="B58" s="10" t="s">
        <v>83</v>
      </c>
      <c r="C58" s="11" t="n">
        <v>1639</v>
      </c>
      <c r="D58" s="11" t="n">
        <v>2045</v>
      </c>
      <c r="E58" s="11" t="n">
        <v>2146</v>
      </c>
      <c r="F58" s="12" t="n">
        <v>0.979466</v>
      </c>
    </row>
    <row r="59" customFormat="false" ht="15" hidden="false" customHeight="false" outlineLevel="0" collapsed="false">
      <c r="A59" s="7" t="s">
        <v>75</v>
      </c>
      <c r="B59" s="7" t="s">
        <v>84</v>
      </c>
      <c r="C59" s="8" t="n">
        <v>2511</v>
      </c>
      <c r="D59" s="8" t="n">
        <v>2601</v>
      </c>
      <c r="E59" s="8" t="n">
        <v>2646</v>
      </c>
      <c r="F59" s="9" t="n">
        <v>0.996431</v>
      </c>
    </row>
    <row r="60" customFormat="false" ht="15" hidden="false" customHeight="false" outlineLevel="0" collapsed="false">
      <c r="A60" s="10" t="s">
        <v>75</v>
      </c>
      <c r="B60" s="10" t="s">
        <v>85</v>
      </c>
      <c r="C60" s="11" t="n">
        <v>2501</v>
      </c>
      <c r="D60" s="11" t="n">
        <v>2589</v>
      </c>
      <c r="E60" s="11" t="n">
        <v>2636</v>
      </c>
      <c r="F60" s="12" t="n">
        <v>0.996527</v>
      </c>
    </row>
    <row r="61" customFormat="false" ht="15" hidden="false" customHeight="false" outlineLevel="0" collapsed="false">
      <c r="A61" s="7" t="s">
        <v>75</v>
      </c>
      <c r="B61" s="7" t="s">
        <v>86</v>
      </c>
      <c r="C61" s="8" t="n">
        <v>2491</v>
      </c>
      <c r="D61" s="8" t="n">
        <v>2568</v>
      </c>
      <c r="E61" s="8" t="n">
        <v>2606</v>
      </c>
      <c r="F61" s="9" t="n">
        <v>0.996691</v>
      </c>
    </row>
    <row r="62" customFormat="false" ht="15" hidden="false" customHeight="false" outlineLevel="0" collapsed="false">
      <c r="A62" s="10" t="s">
        <v>75</v>
      </c>
      <c r="B62" s="10" t="s">
        <v>87</v>
      </c>
      <c r="C62" s="11" t="n">
        <v>2506</v>
      </c>
      <c r="D62" s="11" t="n">
        <v>2603</v>
      </c>
      <c r="E62" s="11" t="n">
        <v>2651</v>
      </c>
      <c r="F62" s="12" t="n">
        <v>0.996986</v>
      </c>
    </row>
    <row r="63" customFormat="false" ht="15" hidden="false" customHeight="false" outlineLevel="0" collapsed="false">
      <c r="A63" s="7" t="s">
        <v>75</v>
      </c>
      <c r="B63" s="7" t="s">
        <v>88</v>
      </c>
      <c r="C63" s="8" t="n">
        <v>2496</v>
      </c>
      <c r="D63" s="8" t="n">
        <v>2578</v>
      </c>
      <c r="E63" s="8" t="n">
        <v>2621</v>
      </c>
      <c r="F63" s="9" t="n">
        <v>0.996601</v>
      </c>
    </row>
    <row r="64" customFormat="false" ht="15" hidden="false" customHeight="false" outlineLevel="0" collapsed="false">
      <c r="A64" s="10" t="s">
        <v>75</v>
      </c>
      <c r="B64" s="10" t="s">
        <v>89</v>
      </c>
      <c r="C64" s="11" t="n">
        <v>2491</v>
      </c>
      <c r="D64" s="11" t="n">
        <v>2581</v>
      </c>
      <c r="E64" s="11" t="n">
        <v>2621</v>
      </c>
      <c r="F64" s="12" t="n">
        <v>0.995811</v>
      </c>
    </row>
    <row r="65" customFormat="false" ht="15" hidden="false" customHeight="false" outlineLevel="0" collapsed="false">
      <c r="A65" s="7" t="s">
        <v>75</v>
      </c>
      <c r="B65" s="7" t="s">
        <v>90</v>
      </c>
      <c r="C65" s="8" t="n">
        <v>2531</v>
      </c>
      <c r="D65" s="8" t="n">
        <v>2634</v>
      </c>
      <c r="E65" s="8" t="n">
        <v>2671</v>
      </c>
      <c r="F65" s="9" t="n">
        <v>0.996847</v>
      </c>
    </row>
    <row r="66" customFormat="false" ht="15" hidden="false" customHeight="false" outlineLevel="0" collapsed="false">
      <c r="A66" s="10" t="s">
        <v>75</v>
      </c>
      <c r="B66" s="10" t="s">
        <v>91</v>
      </c>
      <c r="C66" s="11" t="n">
        <v>2471</v>
      </c>
      <c r="D66" s="11" t="n">
        <v>2606</v>
      </c>
      <c r="E66" s="11" t="n">
        <v>2636</v>
      </c>
      <c r="F66" s="12" t="n">
        <v>0.996435</v>
      </c>
    </row>
    <row r="67" customFormat="false" ht="15" hidden="false" customHeight="false" outlineLevel="0" collapsed="false">
      <c r="A67" s="7" t="s">
        <v>75</v>
      </c>
      <c r="B67" s="7" t="s">
        <v>92</v>
      </c>
      <c r="C67" s="8" t="n">
        <v>2511</v>
      </c>
      <c r="D67" s="8" t="n">
        <v>2601</v>
      </c>
      <c r="E67" s="8" t="n">
        <v>2646</v>
      </c>
      <c r="F67" s="9" t="n">
        <v>0.996428</v>
      </c>
    </row>
    <row r="68" customFormat="false" ht="15" hidden="false" customHeight="false" outlineLevel="0" collapsed="false">
      <c r="A68" s="10" t="s">
        <v>75</v>
      </c>
      <c r="B68" s="10" t="s">
        <v>93</v>
      </c>
      <c r="C68" s="11" t="n">
        <v>2501</v>
      </c>
      <c r="D68" s="11" t="n">
        <v>2589</v>
      </c>
      <c r="E68" s="11" t="n">
        <v>2631</v>
      </c>
      <c r="F68" s="12" t="n">
        <v>0.996392</v>
      </c>
    </row>
    <row r="69" customFormat="false" ht="15" hidden="false" customHeight="false" outlineLevel="0" collapsed="false">
      <c r="A69" s="7" t="s">
        <v>75</v>
      </c>
      <c r="B69" s="7" t="s">
        <v>94</v>
      </c>
      <c r="C69" s="8" t="n">
        <v>2491</v>
      </c>
      <c r="D69" s="8" t="n">
        <v>2568</v>
      </c>
      <c r="E69" s="8" t="n">
        <v>2601</v>
      </c>
      <c r="F69" s="9" t="n">
        <v>0.996703</v>
      </c>
    </row>
    <row r="70" customFormat="false" ht="15" hidden="false" customHeight="false" outlineLevel="0" collapsed="false">
      <c r="A70" s="10" t="s">
        <v>75</v>
      </c>
      <c r="B70" s="10" t="s">
        <v>95</v>
      </c>
      <c r="C70" s="11" t="n">
        <v>2506</v>
      </c>
      <c r="D70" s="11" t="n">
        <v>2603</v>
      </c>
      <c r="E70" s="11" t="n">
        <v>2646</v>
      </c>
      <c r="F70" s="12" t="n">
        <v>0.997105</v>
      </c>
    </row>
    <row r="71" customFormat="false" ht="15" hidden="false" customHeight="false" outlineLevel="0" collapsed="false">
      <c r="A71" s="7" t="s">
        <v>75</v>
      </c>
      <c r="B71" s="7" t="s">
        <v>96</v>
      </c>
      <c r="C71" s="8" t="n">
        <v>2496</v>
      </c>
      <c r="D71" s="8" t="n">
        <v>2578</v>
      </c>
      <c r="E71" s="8" t="n">
        <v>2626</v>
      </c>
      <c r="F71" s="9" t="n">
        <v>0.996407</v>
      </c>
    </row>
    <row r="72" customFormat="false" ht="15" hidden="false" customHeight="false" outlineLevel="0" collapsed="false">
      <c r="A72" s="10" t="s">
        <v>75</v>
      </c>
      <c r="B72" s="10" t="s">
        <v>97</v>
      </c>
      <c r="C72" s="11" t="n">
        <v>2491</v>
      </c>
      <c r="D72" s="11" t="n">
        <v>2581</v>
      </c>
      <c r="E72" s="11" t="n">
        <v>2641</v>
      </c>
      <c r="F72" s="12" t="n">
        <v>0.995049</v>
      </c>
    </row>
    <row r="73" customFormat="false" ht="15" hidden="false" customHeight="false" outlineLevel="0" collapsed="false">
      <c r="A73" s="7" t="s">
        <v>75</v>
      </c>
      <c r="B73" s="7" t="s">
        <v>98</v>
      </c>
      <c r="C73" s="8" t="n">
        <v>2531</v>
      </c>
      <c r="D73" s="8" t="n">
        <v>2634</v>
      </c>
      <c r="E73" s="8" t="n">
        <v>2676</v>
      </c>
      <c r="F73" s="9" t="n">
        <v>0.996544</v>
      </c>
    </row>
    <row r="74" customFormat="false" ht="15" hidden="false" customHeight="false" outlineLevel="0" collapsed="false">
      <c r="A74" s="10" t="s">
        <v>75</v>
      </c>
      <c r="B74" s="10" t="s">
        <v>99</v>
      </c>
      <c r="C74" s="11" t="n">
        <v>2471</v>
      </c>
      <c r="D74" s="11" t="n">
        <v>2606</v>
      </c>
      <c r="E74" s="11" t="n">
        <v>2641</v>
      </c>
      <c r="F74" s="12" t="n">
        <v>0.996132</v>
      </c>
    </row>
    <row r="75" customFormat="false" ht="15" hidden="false" customHeight="false" outlineLevel="0" collapsed="false">
      <c r="A75" s="7" t="s">
        <v>75</v>
      </c>
      <c r="B75" s="7" t="s">
        <v>100</v>
      </c>
      <c r="C75" s="8" t="n">
        <v>1466</v>
      </c>
      <c r="D75" s="8" t="n">
        <v>1651</v>
      </c>
      <c r="E75" s="8" t="n">
        <v>1696</v>
      </c>
      <c r="F75" s="9" t="n">
        <v>0.993332</v>
      </c>
    </row>
    <row r="76" customFormat="false" ht="15" hidden="false" customHeight="false" outlineLevel="0" collapsed="false">
      <c r="A76" s="10" t="s">
        <v>75</v>
      </c>
      <c r="B76" s="10" t="s">
        <v>101</v>
      </c>
      <c r="C76" s="11" t="n">
        <v>1441</v>
      </c>
      <c r="D76" s="11" t="n">
        <v>1596</v>
      </c>
      <c r="E76" s="11" t="n">
        <v>1646</v>
      </c>
      <c r="F76" s="12" t="n">
        <v>0.994649</v>
      </c>
    </row>
    <row r="77" customFormat="false" ht="15" hidden="false" customHeight="false" outlineLevel="0" collapsed="false">
      <c r="A77" s="7" t="s">
        <v>75</v>
      </c>
      <c r="B77" s="7" t="s">
        <v>102</v>
      </c>
      <c r="C77" s="8" t="n">
        <v>1421</v>
      </c>
      <c r="D77" s="8" t="n">
        <v>1606</v>
      </c>
      <c r="E77" s="8" t="n">
        <v>1651</v>
      </c>
      <c r="F77" s="9" t="n">
        <v>0.994033</v>
      </c>
    </row>
    <row r="78" customFormat="false" ht="15" hidden="false" customHeight="false" outlineLevel="0" collapsed="false">
      <c r="A78" s="10" t="s">
        <v>75</v>
      </c>
      <c r="B78" s="10" t="s">
        <v>103</v>
      </c>
      <c r="C78" s="11" t="n">
        <v>1446</v>
      </c>
      <c r="D78" s="11" t="n">
        <v>1641</v>
      </c>
      <c r="E78" s="11" t="n">
        <v>1691</v>
      </c>
      <c r="F78" s="12" t="n">
        <v>0.994139</v>
      </c>
    </row>
    <row r="79" customFormat="false" ht="15" hidden="false" customHeight="false" outlineLevel="0" collapsed="false">
      <c r="A79" s="7" t="s">
        <v>75</v>
      </c>
      <c r="B79" s="7" t="s">
        <v>104</v>
      </c>
      <c r="C79" s="8" t="n">
        <v>1451</v>
      </c>
      <c r="D79" s="8" t="n">
        <v>1636</v>
      </c>
      <c r="E79" s="8" t="n">
        <v>1696</v>
      </c>
      <c r="F79" s="9" t="n">
        <v>0.992346</v>
      </c>
    </row>
    <row r="80" customFormat="false" ht="15" hidden="false" customHeight="false" outlineLevel="0" collapsed="false">
      <c r="A80" s="10" t="s">
        <v>75</v>
      </c>
      <c r="B80" s="10" t="s">
        <v>105</v>
      </c>
      <c r="C80" s="11" t="n">
        <v>1391</v>
      </c>
      <c r="D80" s="11" t="n">
        <v>1596</v>
      </c>
      <c r="E80" s="11" t="n">
        <v>1651</v>
      </c>
      <c r="F80" s="12" t="n">
        <v>0.993827</v>
      </c>
    </row>
    <row r="81" customFormat="false" ht="15" hidden="false" customHeight="false" outlineLevel="0" collapsed="false">
      <c r="A81" s="7" t="s">
        <v>75</v>
      </c>
      <c r="B81" s="7" t="s">
        <v>106</v>
      </c>
      <c r="C81" s="8" t="n">
        <v>1481</v>
      </c>
      <c r="D81" s="8" t="n">
        <v>1646</v>
      </c>
      <c r="E81" s="8" t="n">
        <v>1701</v>
      </c>
      <c r="F81" s="9" t="n">
        <v>0.992082</v>
      </c>
    </row>
    <row r="82" customFormat="false" ht="15" hidden="false" customHeight="false" outlineLevel="0" collapsed="false">
      <c r="A82" s="10" t="s">
        <v>75</v>
      </c>
      <c r="B82" s="10" t="s">
        <v>107</v>
      </c>
      <c r="C82" s="11" t="n">
        <v>1446</v>
      </c>
      <c r="D82" s="11" t="n">
        <v>1646</v>
      </c>
      <c r="E82" s="11" t="n">
        <v>1701</v>
      </c>
      <c r="F82" s="12" t="n">
        <v>0.99434</v>
      </c>
    </row>
    <row r="83" customFormat="false" ht="15" hidden="false" customHeight="false" outlineLevel="0" collapsed="false">
      <c r="A83" s="7" t="s">
        <v>75</v>
      </c>
      <c r="B83" s="7" t="s">
        <v>108</v>
      </c>
      <c r="C83" s="8" t="n">
        <v>1661</v>
      </c>
      <c r="D83" s="8" t="n">
        <v>1891</v>
      </c>
      <c r="E83" s="8" t="n">
        <v>1951</v>
      </c>
      <c r="F83" s="9" t="n">
        <v>0.994434</v>
      </c>
    </row>
    <row r="84" customFormat="false" ht="15" hidden="false" customHeight="false" outlineLevel="0" collapsed="false">
      <c r="A84" s="10" t="s">
        <v>75</v>
      </c>
      <c r="B84" s="10" t="s">
        <v>109</v>
      </c>
      <c r="C84" s="11" t="n">
        <v>1671</v>
      </c>
      <c r="D84" s="11" t="n">
        <v>1851</v>
      </c>
      <c r="E84" s="11" t="n">
        <v>1906</v>
      </c>
      <c r="F84" s="12" t="n">
        <v>0.993581</v>
      </c>
    </row>
    <row r="85" customFormat="false" ht="15" hidden="false" customHeight="false" outlineLevel="0" collapsed="false">
      <c r="A85" s="7" t="s">
        <v>75</v>
      </c>
      <c r="B85" s="7" t="s">
        <v>110</v>
      </c>
      <c r="C85" s="8" t="n">
        <v>1646</v>
      </c>
      <c r="D85" s="8" t="n">
        <v>1851</v>
      </c>
      <c r="E85" s="8" t="n">
        <v>1921</v>
      </c>
      <c r="F85" s="9" t="n">
        <v>0.994472</v>
      </c>
    </row>
    <row r="86" customFormat="false" ht="15" hidden="false" customHeight="false" outlineLevel="0" collapsed="false">
      <c r="A86" s="10" t="s">
        <v>75</v>
      </c>
      <c r="B86" s="10" t="s">
        <v>111</v>
      </c>
      <c r="C86" s="11" t="n">
        <v>1716</v>
      </c>
      <c r="D86" s="11" t="n">
        <v>1881</v>
      </c>
      <c r="E86" s="11" t="n">
        <v>1941</v>
      </c>
      <c r="F86" s="12" t="n">
        <v>0.993319</v>
      </c>
    </row>
    <row r="87" customFormat="false" ht="15" hidden="false" customHeight="false" outlineLevel="0" collapsed="false">
      <c r="A87" s="7" t="s">
        <v>75</v>
      </c>
      <c r="B87" s="7" t="s">
        <v>112</v>
      </c>
      <c r="C87" s="8" t="n">
        <v>1716</v>
      </c>
      <c r="D87" s="8" t="n">
        <v>1891</v>
      </c>
      <c r="E87" s="8" t="n">
        <v>1951</v>
      </c>
      <c r="F87" s="9" t="n">
        <v>0.993293</v>
      </c>
    </row>
    <row r="88" customFormat="false" ht="15" hidden="false" customHeight="false" outlineLevel="0" collapsed="false">
      <c r="A88" s="10" t="s">
        <v>75</v>
      </c>
      <c r="B88" s="10" t="s">
        <v>113</v>
      </c>
      <c r="C88" s="11" t="n">
        <v>1641</v>
      </c>
      <c r="D88" s="11" t="n">
        <v>1856</v>
      </c>
      <c r="E88" s="11" t="n">
        <v>1916</v>
      </c>
      <c r="F88" s="12" t="n">
        <v>0.994133</v>
      </c>
    </row>
    <row r="89" customFormat="false" ht="15" hidden="false" customHeight="false" outlineLevel="0" collapsed="false">
      <c r="A89" s="7" t="s">
        <v>75</v>
      </c>
      <c r="B89" s="7" t="s">
        <v>114</v>
      </c>
      <c r="C89" s="8" t="n">
        <v>1681</v>
      </c>
      <c r="D89" s="8" t="n">
        <v>1881</v>
      </c>
      <c r="E89" s="8" t="n">
        <v>1956</v>
      </c>
      <c r="F89" s="9" t="n">
        <v>0.993912</v>
      </c>
    </row>
    <row r="90" customFormat="false" ht="15" hidden="false" customHeight="false" outlineLevel="0" collapsed="false">
      <c r="A90" s="10" t="s">
        <v>75</v>
      </c>
      <c r="B90" s="10" t="s">
        <v>115</v>
      </c>
      <c r="C90" s="11" t="n">
        <v>1721</v>
      </c>
      <c r="D90" s="11" t="n">
        <v>1876</v>
      </c>
      <c r="E90" s="11" t="n">
        <v>1926</v>
      </c>
      <c r="F90" s="12" t="n">
        <v>0.995348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9" min="8" style="0" width="17"/>
  </cols>
  <sheetData>
    <row r="1" customFormat="false" ht="17.3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5" t="s">
        <v>117</v>
      </c>
    </row>
    <row r="4" customFormat="false" ht="15" hidden="false" customHeight="false" outlineLevel="0" collapsed="false">
      <c r="A4" s="6" t="s">
        <v>118</v>
      </c>
      <c r="B4" s="6" t="s">
        <v>119</v>
      </c>
      <c r="C4" s="6" t="s">
        <v>120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121</v>
      </c>
      <c r="I4" s="6" t="s">
        <v>122</v>
      </c>
    </row>
    <row r="5" customFormat="false" ht="15" hidden="false" customHeight="false" outlineLevel="0" collapsed="false">
      <c r="A5" s="13" t="s">
        <v>123</v>
      </c>
      <c r="B5" s="13" t="s">
        <v>34</v>
      </c>
      <c r="C5" s="13" t="s">
        <v>124</v>
      </c>
      <c r="D5" s="14" t="n">
        <f aca="false">INDEX('All runs'!$C:$C,MATCH($B5,'All runs'!$B:$B,0))</f>
        <v>1383</v>
      </c>
      <c r="E5" s="14" t="n">
        <f aca="false">INDEX('All runs'!$D:$D,MATCH($B5,'All runs'!$B:$B,0))</f>
        <v>1586</v>
      </c>
      <c r="F5" s="14" t="n">
        <f aca="false">INDEX('All runs'!$E:$E,MATCH($B5,'All runs'!$B:$B,0))</f>
        <v>1842</v>
      </c>
      <c r="G5" s="15" t="n">
        <f aca="false">INDEX('All runs'!$F:$F,MATCH($B5,'All runs'!$B:$B,0))</f>
        <v>0.993952</v>
      </c>
      <c r="H5" s="16" t="n">
        <f aca="false">IF(D5=0,"",$D$15/D5-1)</f>
        <v>0.808387563268257</v>
      </c>
      <c r="I5" s="17" t="n">
        <f aca="false">($G$15-G5)*100</f>
        <v>0.244000000000011</v>
      </c>
    </row>
    <row r="6" customFormat="false" ht="15" hidden="false" customHeight="false" outlineLevel="0" collapsed="false">
      <c r="A6" s="18" t="s">
        <v>125</v>
      </c>
      <c r="B6" s="18" t="s">
        <v>31</v>
      </c>
      <c r="C6" s="18" t="s">
        <v>124</v>
      </c>
      <c r="D6" s="19" t="n">
        <f aca="false">INDEX('All runs'!$C:$C,MATCH($B6,'All runs'!$B:$B,0))</f>
        <v>634</v>
      </c>
      <c r="E6" s="19" t="n">
        <f aca="false">INDEX('All runs'!$D:$D,MATCH($B6,'All runs'!$B:$B,0))</f>
        <v>1216</v>
      </c>
      <c r="F6" s="19" t="n">
        <f aca="false">INDEX('All runs'!$E:$E,MATCH($B6,'All runs'!$B:$B,0))</f>
        <v>1883</v>
      </c>
      <c r="G6" s="20" t="n">
        <f aca="false">INDEX('All runs'!$F:$F,MATCH($B6,'All runs'!$B:$B,0))</f>
        <v>0.996845</v>
      </c>
      <c r="H6" s="21" t="n">
        <f aca="false">IF(D6=0,"",$D$15/D6-1)</f>
        <v>2.94479495268139</v>
      </c>
      <c r="I6" s="22" t="n">
        <f aca="false">($G$15-G6)*100</f>
        <v>-0.0452999999999926</v>
      </c>
    </row>
    <row r="7" customFormat="false" ht="15" hidden="false" customHeight="false" outlineLevel="0" collapsed="false">
      <c r="A7" s="13" t="s">
        <v>126</v>
      </c>
      <c r="B7" s="13" t="s">
        <v>32</v>
      </c>
      <c r="C7" s="13" t="s">
        <v>127</v>
      </c>
      <c r="D7" s="14" t="n">
        <f aca="false">INDEX('All runs'!$C:$C,MATCH($B7,'All runs'!$B:$B,0))</f>
        <v>743</v>
      </c>
      <c r="E7" s="14" t="n">
        <f aca="false">INDEX('All runs'!$D:$D,MATCH($B7,'All runs'!$B:$B,0))</f>
        <v>1154</v>
      </c>
      <c r="F7" s="14" t="n">
        <f aca="false">INDEX('All runs'!$E:$E,MATCH($B7,'All runs'!$B:$B,0))</f>
        <v>1960</v>
      </c>
      <c r="G7" s="15" t="n">
        <f aca="false">INDEX('All runs'!$F:$F,MATCH($B7,'All runs'!$B:$B,0))</f>
        <v>0.997395</v>
      </c>
      <c r="H7" s="16" t="n">
        <f aca="false">IF(D7=0,"",$D$15/D7-1)</f>
        <v>2.36608344549125</v>
      </c>
      <c r="I7" s="17" t="n">
        <f aca="false">($G$15-G7)*100</f>
        <v>-0.100299999999998</v>
      </c>
    </row>
    <row r="8" customFormat="false" ht="15" hidden="false" customHeight="false" outlineLevel="0" collapsed="false">
      <c r="A8" s="18" t="s">
        <v>128</v>
      </c>
      <c r="B8" s="18" t="s">
        <v>35</v>
      </c>
      <c r="C8" s="18" t="s">
        <v>124</v>
      </c>
      <c r="D8" s="19" t="n">
        <f aca="false">INDEX('All runs'!$C:$C,MATCH($B8,'All runs'!$B:$B,0))</f>
        <v>1324</v>
      </c>
      <c r="E8" s="19" t="n">
        <f aca="false">INDEX('All runs'!$D:$D,MATCH($B8,'All runs'!$B:$B,0))</f>
        <v>2352</v>
      </c>
      <c r="F8" s="19" t="n">
        <f aca="false">INDEX('All runs'!$E:$E,MATCH($B8,'All runs'!$B:$B,0))</f>
        <v>3504</v>
      </c>
      <c r="G8" s="20" t="n">
        <f aca="false">INDEX('All runs'!$F:$F,MATCH($B8,'All runs'!$B:$B,0))</f>
        <v>0.994186</v>
      </c>
      <c r="H8" s="21" t="n">
        <f aca="false">IF(D8=0,"",$D$15/D8-1)</f>
        <v>0.888972809667674</v>
      </c>
      <c r="I8" s="22" t="n">
        <f aca="false">($G$15-G8)*100</f>
        <v>0.220600000000004</v>
      </c>
    </row>
    <row r="9" customFormat="false" ht="15" hidden="false" customHeight="false" outlineLevel="0" collapsed="false">
      <c r="A9" s="13" t="s">
        <v>129</v>
      </c>
      <c r="B9" s="13" t="s">
        <v>36</v>
      </c>
      <c r="C9" s="13" t="s">
        <v>130</v>
      </c>
      <c r="D9" s="14" t="n">
        <f aca="false">INDEX('All runs'!$C:$C,MATCH($B9,'All runs'!$B:$B,0))</f>
        <v>647</v>
      </c>
      <c r="E9" s="14" t="n">
        <f aca="false">INDEX('All runs'!$D:$D,MATCH($B9,'All runs'!$B:$B,0))</f>
        <v>702</v>
      </c>
      <c r="F9" s="14" t="n">
        <f aca="false">INDEX('All runs'!$E:$E,MATCH($B9,'All runs'!$B:$B,0))</f>
        <v>721</v>
      </c>
      <c r="G9" s="15" t="n">
        <f aca="false">INDEX('All runs'!$F:$F,MATCH($B9,'All runs'!$B:$B,0))</f>
        <v>0.985844</v>
      </c>
      <c r="H9" s="16" t="n">
        <f aca="false">IF(D9=0,"",$D$15/D9-1)</f>
        <v>2.86553323029366</v>
      </c>
      <c r="I9" s="17" t="n">
        <f aca="false">($G$15-G9)*100</f>
        <v>1.0548</v>
      </c>
    </row>
    <row r="10" customFormat="false" ht="15" hidden="false" customHeight="false" outlineLevel="0" collapsed="false">
      <c r="A10" s="18" t="s">
        <v>131</v>
      </c>
      <c r="B10" s="18" t="s">
        <v>40</v>
      </c>
      <c r="C10" s="18" t="s">
        <v>132</v>
      </c>
      <c r="D10" s="19" t="n">
        <f aca="false">INDEX('All runs'!$C:$C,MATCH($B10,'All runs'!$B:$B,0))</f>
        <v>1480</v>
      </c>
      <c r="E10" s="19" t="n">
        <f aca="false">INDEX('All runs'!$D:$D,MATCH($B10,'All runs'!$B:$B,0))</f>
        <v>1542</v>
      </c>
      <c r="F10" s="19" t="n">
        <f aca="false">INDEX('All runs'!$E:$E,MATCH($B10,'All runs'!$B:$B,0))</f>
        <v>1558</v>
      </c>
      <c r="G10" s="20" t="n">
        <f aca="false">INDEX('All runs'!$F:$F,MATCH($B10,'All runs'!$B:$B,0))</f>
        <v>0.992063</v>
      </c>
      <c r="H10" s="21" t="n">
        <f aca="false">IF(D10=0,"",$D$15/D10-1)</f>
        <v>0.689864864864865</v>
      </c>
      <c r="I10" s="22" t="n">
        <f aca="false">($G$15-G10)*100</f>
        <v>0.432900000000003</v>
      </c>
    </row>
    <row r="11" customFormat="false" ht="15" hidden="false" customHeight="false" outlineLevel="0" collapsed="false">
      <c r="A11" s="13" t="s">
        <v>133</v>
      </c>
      <c r="B11" s="13" t="s">
        <v>33</v>
      </c>
      <c r="C11" s="13" t="s">
        <v>130</v>
      </c>
      <c r="D11" s="14" t="n">
        <f aca="false">INDEX('All runs'!$C:$C,MATCH($B11,'All runs'!$B:$B,0))</f>
        <v>1384</v>
      </c>
      <c r="E11" s="14" t="n">
        <f aca="false">INDEX('All runs'!$D:$D,MATCH($B11,'All runs'!$B:$B,0))</f>
        <v>1419</v>
      </c>
      <c r="F11" s="14" t="n">
        <f aca="false">INDEX('All runs'!$E:$E,MATCH($B11,'All runs'!$B:$B,0))</f>
        <v>1434</v>
      </c>
      <c r="G11" s="15" t="n">
        <f aca="false">INDEX('All runs'!$F:$F,MATCH($B11,'All runs'!$B:$B,0))</f>
        <v>0.992968</v>
      </c>
      <c r="H11" s="16" t="n">
        <f aca="false">IF(D11=0,"",$D$15/D11-1)</f>
        <v>0.807080924855491</v>
      </c>
      <c r="I11" s="17" t="n">
        <f aca="false">($G$15-G11)*100</f>
        <v>0.342400000000009</v>
      </c>
    </row>
    <row r="12" customFormat="false" ht="15" hidden="false" customHeight="false" outlineLevel="0" collapsed="false">
      <c r="A12" s="18" t="s">
        <v>134</v>
      </c>
      <c r="B12" s="18" t="s">
        <v>39</v>
      </c>
      <c r="C12" s="18" t="s">
        <v>132</v>
      </c>
      <c r="D12" s="19" t="n">
        <f aca="false">INDEX('All runs'!$C:$C,MATCH($B12,'All runs'!$B:$B,0))</f>
        <v>1473</v>
      </c>
      <c r="E12" s="19" t="n">
        <f aca="false">INDEX('All runs'!$D:$D,MATCH($B12,'All runs'!$B:$B,0))</f>
        <v>1509</v>
      </c>
      <c r="F12" s="19" t="n">
        <f aca="false">INDEX('All runs'!$E:$E,MATCH($B12,'All runs'!$B:$B,0))</f>
        <v>1525</v>
      </c>
      <c r="G12" s="20" t="n">
        <f aca="false">INDEX('All runs'!$F:$F,MATCH($B12,'All runs'!$B:$B,0))</f>
        <v>0.993617</v>
      </c>
      <c r="H12" s="21" t="n">
        <f aca="false">IF(D12=0,"",$D$15/D12-1)</f>
        <v>0.697895451459606</v>
      </c>
      <c r="I12" s="22" t="n">
        <f aca="false">($G$15-G12)*100</f>
        <v>0.277500000000008</v>
      </c>
    </row>
    <row r="13" customFormat="false" ht="15" hidden="false" customHeight="false" outlineLevel="0" collapsed="false">
      <c r="A13" s="13" t="s">
        <v>135</v>
      </c>
      <c r="B13" s="13" t="s">
        <v>30</v>
      </c>
      <c r="C13" s="13" t="s">
        <v>136</v>
      </c>
      <c r="D13" s="14" t="n">
        <f aca="false">INDEX('All runs'!$C:$C,MATCH($B13,'All runs'!$B:$B,0))</f>
        <v>1311</v>
      </c>
      <c r="E13" s="14" t="n">
        <f aca="false">INDEX('All runs'!$D:$D,MATCH($B13,'All runs'!$B:$B,0))</f>
        <v>1382</v>
      </c>
      <c r="F13" s="14" t="n">
        <f aca="false">INDEX('All runs'!$E:$E,MATCH($B13,'All runs'!$B:$B,0))</f>
        <v>1545</v>
      </c>
      <c r="G13" s="15" t="n">
        <f aca="false">INDEX('All runs'!$F:$F,MATCH($B13,'All runs'!$B:$B,0))</f>
        <v>0.9974</v>
      </c>
      <c r="H13" s="16" t="n">
        <f aca="false">IF(D13=0,"",$D$15/D13-1)</f>
        <v>0.907704042715484</v>
      </c>
      <c r="I13" s="17" t="n">
        <f aca="false">($G$15-G13)*100</f>
        <v>-0.10079999999999</v>
      </c>
    </row>
    <row r="14" customFormat="false" ht="15" hidden="false" customHeight="false" outlineLevel="0" collapsed="false">
      <c r="A14" s="18" t="s">
        <v>137</v>
      </c>
      <c r="B14" s="18" t="s">
        <v>38</v>
      </c>
      <c r="C14" s="18" t="s">
        <v>138</v>
      </c>
      <c r="D14" s="19" t="n">
        <f aca="false">INDEX('All runs'!$C:$C,MATCH($B14,'All runs'!$B:$B,0))</f>
        <v>1368</v>
      </c>
      <c r="E14" s="19" t="n">
        <f aca="false">INDEX('All runs'!$D:$D,MATCH($B14,'All runs'!$B:$B,0))</f>
        <v>1385</v>
      </c>
      <c r="F14" s="19" t="n">
        <f aca="false">INDEX('All runs'!$E:$E,MATCH($B14,'All runs'!$B:$B,0))</f>
        <v>1767</v>
      </c>
      <c r="G14" s="20" t="n">
        <f aca="false">INDEX('All runs'!$F:$F,MATCH($B14,'All runs'!$B:$B,0))</f>
        <v>0.995064</v>
      </c>
      <c r="H14" s="21" t="n">
        <f aca="false">IF(D14=0,"",$D$15/D14-1)</f>
        <v>0.828216374269006</v>
      </c>
      <c r="I14" s="22" t="n">
        <f aca="false">($G$15-G14)*100</f>
        <v>0.132800000000011</v>
      </c>
    </row>
    <row r="15" customFormat="false" ht="15" hidden="false" customHeight="false" outlineLevel="0" collapsed="false">
      <c r="A15" s="23" t="s">
        <v>139</v>
      </c>
      <c r="B15" s="23" t="s">
        <v>58</v>
      </c>
      <c r="C15" s="23" t="s">
        <v>140</v>
      </c>
      <c r="D15" s="24" t="n">
        <f aca="false">INDEX('All runs'!$C:$C,MATCH($B15,'All runs'!$B:$B,0))</f>
        <v>2501</v>
      </c>
      <c r="E15" s="24" t="n">
        <f aca="false">INDEX('All runs'!$D:$D,MATCH($B15,'All runs'!$B:$B,0))</f>
        <v>2589</v>
      </c>
      <c r="F15" s="24" t="n">
        <f aca="false">INDEX('All runs'!$E:$E,MATCH($B15,'All runs'!$B:$B,0))</f>
        <v>2631</v>
      </c>
      <c r="G15" s="25" t="n">
        <f aca="false">INDEX('All runs'!$F:$F,MATCH($B15,'All runs'!$B:$B,0))</f>
        <v>0.996392</v>
      </c>
      <c r="H15" s="26" t="n">
        <f aca="false">IF(D15=0,"",$D$15/D15-1)</f>
        <v>0</v>
      </c>
      <c r="I15" s="27" t="n">
        <f aca="false">($G$15-G15)*100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12" min="3" style="0" width="10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5" t="s">
        <v>142</v>
      </c>
    </row>
    <row r="4" customFormat="false" ht="15" hidden="false" customHeight="false" outlineLevel="0" collapsed="false">
      <c r="A4" s="6" t="s">
        <v>118</v>
      </c>
      <c r="B4" s="6" t="s">
        <v>119</v>
      </c>
      <c r="C4" s="6" t="s">
        <v>143</v>
      </c>
      <c r="D4" s="6" t="s">
        <v>144</v>
      </c>
      <c r="E4" s="6" t="s">
        <v>145</v>
      </c>
      <c r="F4" s="6" t="s">
        <v>146</v>
      </c>
      <c r="G4" s="6" t="s">
        <v>147</v>
      </c>
      <c r="H4" s="6" t="s">
        <v>148</v>
      </c>
      <c r="I4" s="6" t="s">
        <v>149</v>
      </c>
      <c r="J4" s="6" t="s">
        <v>150</v>
      </c>
      <c r="K4" s="6" t="s">
        <v>151</v>
      </c>
      <c r="L4" s="6" t="s">
        <v>152</v>
      </c>
      <c r="M4" s="6" t="s">
        <v>153</v>
      </c>
    </row>
    <row r="5" customFormat="false" ht="15" hidden="false" customHeight="false" outlineLevel="0" collapsed="false">
      <c r="A5" s="13" t="s">
        <v>123</v>
      </c>
      <c r="B5" s="13" t="s">
        <v>26</v>
      </c>
      <c r="C5" s="28" t="s">
        <v>154</v>
      </c>
      <c r="D5" s="28" t="s">
        <v>154</v>
      </c>
      <c r="E5" s="28" t="n">
        <v>1312</v>
      </c>
      <c r="F5" s="14" t="n">
        <f aca="false">INDEX('All runs'!$C:$C,MATCH($B5,'All runs'!$B:$B,0))</f>
        <v>1035</v>
      </c>
      <c r="G5" s="14" t="n">
        <f aca="false">INDEX('All runs'!$D:$D,MATCH($B5,'All runs'!$B:$B,0))</f>
        <v>1152</v>
      </c>
      <c r="H5" s="14" t="n">
        <f aca="false">INDEX('All runs'!$E:$E,MATCH($B5,'All runs'!$B:$B,0))</f>
        <v>1327</v>
      </c>
      <c r="I5" s="15" t="n">
        <f aca="false">INDEX('All runs'!$F:$F,MATCH($B5,'All runs'!$B:$B,0))</f>
        <v>0.986211</v>
      </c>
      <c r="J5" s="29" t="str">
        <f aca="false">IF(ISNUMBER(C5),ABS(F5-C5)/C5,"")</f>
        <v/>
      </c>
      <c r="K5" s="29" t="str">
        <f aca="false">IF(ISNUMBER(D5),ABS(G5-D5)/D5,"")</f>
        <v/>
      </c>
      <c r="L5" s="29" t="n">
        <f aca="false">IF(ISNUMBER(E5),ABS(H5-E5)/E5,"")</f>
        <v>0.0114329268292683</v>
      </c>
      <c r="M5" s="30" t="s">
        <v>155</v>
      </c>
    </row>
    <row r="6" customFormat="false" ht="15" hidden="false" customHeight="false" outlineLevel="0" collapsed="false">
      <c r="A6" s="18" t="s">
        <v>125</v>
      </c>
      <c r="B6" s="18" t="s">
        <v>24</v>
      </c>
      <c r="C6" s="31" t="s">
        <v>154</v>
      </c>
      <c r="D6" s="31" t="s">
        <v>154</v>
      </c>
      <c r="E6" s="31" t="s">
        <v>154</v>
      </c>
      <c r="F6" s="19" t="n">
        <f aca="false">INDEX('All runs'!$C:$C,MATCH($B6,'All runs'!$B:$B,0))</f>
        <v>734</v>
      </c>
      <c r="G6" s="19" t="n">
        <f aca="false">INDEX('All runs'!$D:$D,MATCH($B6,'All runs'!$B:$B,0))</f>
        <v>1384</v>
      </c>
      <c r="H6" s="19" t="n">
        <f aca="false">INDEX('All runs'!$E:$E,MATCH($B6,'All runs'!$B:$B,0))</f>
        <v>2259</v>
      </c>
      <c r="I6" s="20" t="n">
        <f aca="false">INDEX('All runs'!$F:$F,MATCH($B6,'All runs'!$B:$B,0))</f>
        <v>0.997956</v>
      </c>
      <c r="J6" s="32" t="str">
        <f aca="false">IF(ISNUMBER(C6),ABS(F6-C6)/C6,"")</f>
        <v/>
      </c>
      <c r="K6" s="32" t="str">
        <f aca="false">IF(ISNUMBER(D6),ABS(G6-D6)/D6,"")</f>
        <v/>
      </c>
      <c r="L6" s="32" t="str">
        <f aca="false">IF(ISNUMBER(E6),ABS(H6-E6)/E6,"")</f>
        <v/>
      </c>
      <c r="M6" s="33" t="s">
        <v>156</v>
      </c>
    </row>
    <row r="7" customFormat="false" ht="15" hidden="false" customHeight="false" outlineLevel="0" collapsed="false">
      <c r="A7" s="13" t="s">
        <v>128</v>
      </c>
      <c r="B7" s="13" t="s">
        <v>27</v>
      </c>
      <c r="C7" s="28" t="n">
        <v>1578</v>
      </c>
      <c r="D7" s="28" t="n">
        <v>2082</v>
      </c>
      <c r="E7" s="28" t="n">
        <v>2192</v>
      </c>
      <c r="F7" s="14" t="n">
        <f aca="false">INDEX('All runs'!$C:$C,MATCH($B7,'All runs'!$B:$B,0))</f>
        <v>1616</v>
      </c>
      <c r="G7" s="14" t="n">
        <f aca="false">INDEX('All runs'!$D:$D,MATCH($B7,'All runs'!$B:$B,0))</f>
        <v>2017</v>
      </c>
      <c r="H7" s="14" t="n">
        <f aca="false">INDEX('All runs'!$E:$E,MATCH($B7,'All runs'!$B:$B,0))</f>
        <v>2186</v>
      </c>
      <c r="I7" s="15" t="n">
        <f aca="false">INDEX('All runs'!$F:$F,MATCH($B7,'All runs'!$B:$B,0))</f>
        <v>0.988595</v>
      </c>
      <c r="J7" s="29" t="n">
        <f aca="false">IF(ISNUMBER(C7),ABS(F7-C7)/C7,"")</f>
        <v>0.0240811153358682</v>
      </c>
      <c r="K7" s="29" t="n">
        <f aca="false">IF(ISNUMBER(D7),ABS(G7-D7)/D7,"")</f>
        <v>0.0312199807877041</v>
      </c>
      <c r="L7" s="29" t="n">
        <f aca="false">IF(ISNUMBER(E7),ABS(H7-E7)/E7,"")</f>
        <v>0.00273722627737226</v>
      </c>
      <c r="M7" s="30" t="s">
        <v>157</v>
      </c>
    </row>
    <row r="8" customFormat="false" ht="15" hidden="false" customHeight="false" outlineLevel="0" collapsed="false">
      <c r="A8" s="18" t="s">
        <v>129</v>
      </c>
      <c r="B8" s="18" t="s">
        <v>28</v>
      </c>
      <c r="C8" s="31" t="s">
        <v>154</v>
      </c>
      <c r="D8" s="31" t="s">
        <v>154</v>
      </c>
      <c r="E8" s="31" t="s">
        <v>154</v>
      </c>
      <c r="F8" s="19" t="n">
        <f aca="false">INDEX('All runs'!$C:$C,MATCH($B8,'All runs'!$B:$B,0))</f>
        <v>484</v>
      </c>
      <c r="G8" s="19" t="n">
        <f aca="false">INDEX('All runs'!$D:$D,MATCH($B8,'All runs'!$B:$B,0))</f>
        <v>583</v>
      </c>
      <c r="H8" s="19" t="n">
        <f aca="false">INDEX('All runs'!$E:$E,MATCH($B8,'All runs'!$B:$B,0))</f>
        <v>689</v>
      </c>
      <c r="I8" s="20" t="n">
        <f aca="false">INDEX('All runs'!$F:$F,MATCH($B8,'All runs'!$B:$B,0))</f>
        <v>0.996585</v>
      </c>
      <c r="J8" s="32" t="str">
        <f aca="false">IF(ISNUMBER(C8),ABS(F8-C8)/C8,"")</f>
        <v/>
      </c>
      <c r="K8" s="32" t="str">
        <f aca="false">IF(ISNUMBER(D8),ABS(G8-D8)/D8,"")</f>
        <v/>
      </c>
      <c r="L8" s="32" t="str">
        <f aca="false">IF(ISNUMBER(E8),ABS(H8-E8)/E8,"")</f>
        <v/>
      </c>
      <c r="M8" s="33" t="s">
        <v>158</v>
      </c>
    </row>
    <row r="9" customFormat="false" ht="15" hidden="false" customHeight="false" outlineLevel="0" collapsed="false">
      <c r="A9" s="13" t="s">
        <v>133</v>
      </c>
      <c r="B9" s="13" t="s">
        <v>25</v>
      </c>
      <c r="C9" s="28" t="s">
        <v>154</v>
      </c>
      <c r="D9" s="28" t="s">
        <v>154</v>
      </c>
      <c r="E9" s="28" t="n">
        <v>4312</v>
      </c>
      <c r="F9" s="14" t="n">
        <f aca="false">INDEX('All runs'!$C:$C,MATCH($B9,'All runs'!$B:$B,0))</f>
        <v>1078</v>
      </c>
      <c r="G9" s="14" t="n">
        <f aca="false">INDEX('All runs'!$D:$D,MATCH($B9,'All runs'!$B:$B,0))</f>
        <v>1157</v>
      </c>
      <c r="H9" s="14" t="n">
        <f aca="false">INDEX('All runs'!$E:$E,MATCH($B9,'All runs'!$B:$B,0))</f>
        <v>1207</v>
      </c>
      <c r="I9" s="15" t="n">
        <f aca="false">INDEX('All runs'!$F:$F,MATCH($B9,'All runs'!$B:$B,0))</f>
        <v>0.950353</v>
      </c>
      <c r="J9" s="29" t="str">
        <f aca="false">IF(ISNUMBER(C9),ABS(F9-C9)/C9,"")</f>
        <v/>
      </c>
      <c r="K9" s="29" t="str">
        <f aca="false">IF(ISNUMBER(D9),ABS(G9-D9)/D9,"")</f>
        <v/>
      </c>
      <c r="L9" s="29" t="n">
        <f aca="false">IF(ISNUMBER(E9),ABS(H9-E9)/E9,"")</f>
        <v>0.720083487940631</v>
      </c>
      <c r="M9" s="30" t="s">
        <v>159</v>
      </c>
    </row>
    <row r="10" customFormat="false" ht="15" hidden="false" customHeight="false" outlineLevel="0" collapsed="false">
      <c r="A10" s="18" t="s">
        <v>135</v>
      </c>
      <c r="B10" s="18" t="s">
        <v>23</v>
      </c>
      <c r="C10" s="31" t="n">
        <v>1250</v>
      </c>
      <c r="D10" s="31" t="n">
        <v>1650</v>
      </c>
      <c r="E10" s="31" t="n">
        <v>2200</v>
      </c>
      <c r="F10" s="19" t="n">
        <f aca="false">INDEX('All runs'!$C:$C,MATCH($B10,'All runs'!$B:$B,0))</f>
        <v>1121</v>
      </c>
      <c r="G10" s="19" t="n">
        <f aca="false">INDEX('All runs'!$D:$D,MATCH($B10,'All runs'!$B:$B,0))</f>
        <v>1954</v>
      </c>
      <c r="H10" s="19" t="n">
        <f aca="false">INDEX('All runs'!$E:$E,MATCH($B10,'All runs'!$B:$B,0))</f>
        <v>3783</v>
      </c>
      <c r="I10" s="20" t="n">
        <f aca="false">INDEX('All runs'!$F:$F,MATCH($B10,'All runs'!$B:$B,0))</f>
        <v>0.997831</v>
      </c>
      <c r="J10" s="32" t="n">
        <f aca="false">IF(ISNUMBER(C10),ABS(F10-C10)/C10,"")</f>
        <v>0.1032</v>
      </c>
      <c r="K10" s="32" t="n">
        <f aca="false">IF(ISNUMBER(D10),ABS(G10-D10)/D10,"")</f>
        <v>0.184242424242424</v>
      </c>
      <c r="L10" s="32" t="n">
        <f aca="false">IF(ISNUMBER(E10),ABS(H10-E10)/E10,"")</f>
        <v>0.719545454545455</v>
      </c>
      <c r="M10" s="33" t="s">
        <v>160</v>
      </c>
    </row>
    <row r="12" customFormat="false" ht="15" hidden="false" customHeight="false" outlineLevel="0" collapsed="false">
      <c r="A12" s="34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5" t="s">
        <v>163</v>
      </c>
    </row>
    <row r="4" customFormat="false" ht="15" hidden="false" customHeight="false" outlineLevel="0" collapsed="false">
      <c r="A4" s="6" t="s">
        <v>118</v>
      </c>
      <c r="B4" s="6" t="s">
        <v>164</v>
      </c>
      <c r="C4" s="6" t="s">
        <v>119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165</v>
      </c>
    </row>
    <row r="5" customFormat="false" ht="15" hidden="false" customHeight="false" outlineLevel="0" collapsed="false">
      <c r="A5" s="13" t="s">
        <v>129</v>
      </c>
      <c r="B5" s="13" t="s">
        <v>166</v>
      </c>
      <c r="C5" s="13" t="s">
        <v>28</v>
      </c>
      <c r="D5" s="14" t="n">
        <f aca="false">INDEX('All runs'!$C:$C,MATCH($C5,'All runs'!$B:$B,0))</f>
        <v>484</v>
      </c>
      <c r="E5" s="14" t="n">
        <f aca="false">INDEX('All runs'!$D:$D,MATCH($C5,'All runs'!$B:$B,0))</f>
        <v>583</v>
      </c>
      <c r="F5" s="14" t="n">
        <f aca="false">INDEX('All runs'!$E:$E,MATCH($C5,'All runs'!$B:$B,0))</f>
        <v>689</v>
      </c>
      <c r="G5" s="15" t="n">
        <f aca="false">INDEX('All runs'!$F:$F,MATCH($C5,'All runs'!$B:$B,0))</f>
        <v>0.996585</v>
      </c>
      <c r="H5" s="13" t="s">
        <v>167</v>
      </c>
    </row>
    <row r="6" customFormat="false" ht="15" hidden="false" customHeight="false" outlineLevel="0" collapsed="false">
      <c r="A6" s="18" t="s">
        <v>129</v>
      </c>
      <c r="B6" s="18" t="s">
        <v>168</v>
      </c>
      <c r="C6" s="18" t="s">
        <v>36</v>
      </c>
      <c r="D6" s="19" t="n">
        <f aca="false">INDEX('All runs'!$C:$C,MATCH($C6,'All runs'!$B:$B,0))</f>
        <v>647</v>
      </c>
      <c r="E6" s="19" t="n">
        <f aca="false">INDEX('All runs'!$D:$D,MATCH($C6,'All runs'!$B:$B,0))</f>
        <v>702</v>
      </c>
      <c r="F6" s="19" t="n">
        <f aca="false">INDEX('All runs'!$E:$E,MATCH($C6,'All runs'!$B:$B,0))</f>
        <v>721</v>
      </c>
      <c r="G6" s="20" t="n">
        <f aca="false">INDEX('All runs'!$F:$F,MATCH($C6,'All runs'!$B:$B,0))</f>
        <v>0.985844</v>
      </c>
      <c r="H6" s="18" t="s">
        <v>169</v>
      </c>
    </row>
    <row r="7" customFormat="false" ht="15" hidden="false" customHeight="false" outlineLevel="0" collapsed="false">
      <c r="A7" s="23" t="s">
        <v>129</v>
      </c>
      <c r="B7" s="23" t="s">
        <v>170</v>
      </c>
      <c r="C7" s="23" t="s">
        <v>40</v>
      </c>
      <c r="D7" s="24" t="n">
        <f aca="false">INDEX('All runs'!$C:$C,MATCH($C7,'All runs'!$B:$B,0))</f>
        <v>1480</v>
      </c>
      <c r="E7" s="24" t="n">
        <f aca="false">INDEX('All runs'!$D:$D,MATCH($C7,'All runs'!$B:$B,0))</f>
        <v>1542</v>
      </c>
      <c r="F7" s="24" t="n">
        <f aca="false">INDEX('All runs'!$E:$E,MATCH($C7,'All runs'!$B:$B,0))</f>
        <v>1558</v>
      </c>
      <c r="G7" s="25" t="n">
        <f aca="false">INDEX('All runs'!$F:$F,MATCH($C7,'All runs'!$B:$B,0))</f>
        <v>0.992063</v>
      </c>
      <c r="H7" s="23" t="s">
        <v>171</v>
      </c>
    </row>
    <row r="8" customFormat="false" ht="15" hidden="false" customHeight="false" outlineLevel="0" collapsed="false">
      <c r="A8" s="18" t="s">
        <v>133</v>
      </c>
      <c r="B8" s="18" t="s">
        <v>166</v>
      </c>
      <c r="C8" s="18" t="s">
        <v>25</v>
      </c>
      <c r="D8" s="19" t="n">
        <f aca="false">INDEX('All runs'!$C:$C,MATCH($C8,'All runs'!$B:$B,0))</f>
        <v>1078</v>
      </c>
      <c r="E8" s="19" t="n">
        <f aca="false">INDEX('All runs'!$D:$D,MATCH($C8,'All runs'!$B:$B,0))</f>
        <v>1157</v>
      </c>
      <c r="F8" s="19" t="n">
        <f aca="false">INDEX('All runs'!$E:$E,MATCH($C8,'All runs'!$B:$B,0))</f>
        <v>1207</v>
      </c>
      <c r="G8" s="20" t="n">
        <f aca="false">INDEX('All runs'!$F:$F,MATCH($C8,'All runs'!$B:$B,0))</f>
        <v>0.950353</v>
      </c>
      <c r="H8" s="18" t="s">
        <v>172</v>
      </c>
    </row>
    <row r="9" customFormat="false" ht="15" hidden="false" customHeight="false" outlineLevel="0" collapsed="false">
      <c r="A9" s="13" t="s">
        <v>133</v>
      </c>
      <c r="B9" s="13" t="s">
        <v>168</v>
      </c>
      <c r="C9" s="13" t="s">
        <v>33</v>
      </c>
      <c r="D9" s="14" t="n">
        <f aca="false">INDEX('All runs'!$C:$C,MATCH($C9,'All runs'!$B:$B,0))</f>
        <v>1384</v>
      </c>
      <c r="E9" s="14" t="n">
        <f aca="false">INDEX('All runs'!$D:$D,MATCH($C9,'All runs'!$B:$B,0))</f>
        <v>1419</v>
      </c>
      <c r="F9" s="14" t="n">
        <f aca="false">INDEX('All runs'!$E:$E,MATCH($C9,'All runs'!$B:$B,0))</f>
        <v>1434</v>
      </c>
      <c r="G9" s="15" t="n">
        <f aca="false">INDEX('All runs'!$F:$F,MATCH($C9,'All runs'!$B:$B,0))</f>
        <v>0.992968</v>
      </c>
      <c r="H9" s="13" t="s">
        <v>169</v>
      </c>
    </row>
    <row r="10" customFormat="false" ht="15" hidden="false" customHeight="false" outlineLevel="0" collapsed="false">
      <c r="A10" s="23" t="s">
        <v>133</v>
      </c>
      <c r="B10" s="23" t="s">
        <v>170</v>
      </c>
      <c r="C10" s="23" t="s">
        <v>39</v>
      </c>
      <c r="D10" s="24" t="n">
        <f aca="false">INDEX('All runs'!$C:$C,MATCH($C10,'All runs'!$B:$B,0))</f>
        <v>1473</v>
      </c>
      <c r="E10" s="24" t="n">
        <f aca="false">INDEX('All runs'!$D:$D,MATCH($C10,'All runs'!$B:$B,0))</f>
        <v>1509</v>
      </c>
      <c r="F10" s="24" t="n">
        <f aca="false">INDEX('All runs'!$E:$E,MATCH($C10,'All runs'!$B:$B,0))</f>
        <v>1525</v>
      </c>
      <c r="G10" s="25" t="n">
        <f aca="false">INDEX('All runs'!$F:$F,MATCH($C10,'All runs'!$B:$B,0))</f>
        <v>0.993617</v>
      </c>
      <c r="H10" s="23" t="s">
        <v>173</v>
      </c>
    </row>
    <row r="11" customFormat="false" ht="15" hidden="false" customHeight="false" outlineLevel="0" collapsed="false">
      <c r="A11" s="13" t="s">
        <v>135</v>
      </c>
      <c r="B11" s="13" t="s">
        <v>166</v>
      </c>
      <c r="C11" s="13" t="s">
        <v>23</v>
      </c>
      <c r="D11" s="14" t="n">
        <f aca="false">INDEX('All runs'!$C:$C,MATCH($C11,'All runs'!$B:$B,0))</f>
        <v>1121</v>
      </c>
      <c r="E11" s="14" t="n">
        <f aca="false">INDEX('All runs'!$D:$D,MATCH($C11,'All runs'!$B:$B,0))</f>
        <v>1954</v>
      </c>
      <c r="F11" s="14" t="n">
        <f aca="false">INDEX('All runs'!$E:$E,MATCH($C11,'All runs'!$B:$B,0))</f>
        <v>3783</v>
      </c>
      <c r="G11" s="15" t="n">
        <f aca="false">INDEX('All runs'!$F:$F,MATCH($C11,'All runs'!$B:$B,0))</f>
        <v>0.997831</v>
      </c>
      <c r="H11" s="13" t="s">
        <v>174</v>
      </c>
    </row>
    <row r="12" customFormat="false" ht="15" hidden="false" customHeight="false" outlineLevel="0" collapsed="false">
      <c r="A12" s="18" t="s">
        <v>135</v>
      </c>
      <c r="B12" s="18" t="s">
        <v>168</v>
      </c>
      <c r="C12" s="18" t="s">
        <v>30</v>
      </c>
      <c r="D12" s="19" t="n">
        <f aca="false">INDEX('All runs'!$C:$C,MATCH($C12,'All runs'!$B:$B,0))</f>
        <v>1311</v>
      </c>
      <c r="E12" s="19" t="n">
        <f aca="false">INDEX('All runs'!$D:$D,MATCH($C12,'All runs'!$B:$B,0))</f>
        <v>1382</v>
      </c>
      <c r="F12" s="19" t="n">
        <f aca="false">INDEX('All runs'!$E:$E,MATCH($C12,'All runs'!$B:$B,0))</f>
        <v>1545</v>
      </c>
      <c r="G12" s="20" t="n">
        <f aca="false">INDEX('All runs'!$F:$F,MATCH($C12,'All runs'!$B:$B,0))</f>
        <v>0.9974</v>
      </c>
      <c r="H12" s="18" t="s">
        <v>175</v>
      </c>
    </row>
    <row r="13" customFormat="false" ht="15" hidden="false" customHeight="false" outlineLevel="0" collapsed="false">
      <c r="A13" s="23" t="s">
        <v>135</v>
      </c>
      <c r="B13" s="23" t="s">
        <v>170</v>
      </c>
      <c r="C13" s="23" t="s">
        <v>38</v>
      </c>
      <c r="D13" s="24" t="n">
        <f aca="false">INDEX('All runs'!$C:$C,MATCH($C13,'All runs'!$B:$B,0))</f>
        <v>1368</v>
      </c>
      <c r="E13" s="24" t="n">
        <f aca="false">INDEX('All runs'!$D:$D,MATCH($C13,'All runs'!$B:$B,0))</f>
        <v>1385</v>
      </c>
      <c r="F13" s="24" t="n">
        <f aca="false">INDEX('All runs'!$E:$E,MATCH($C13,'All runs'!$B:$B,0))</f>
        <v>1767</v>
      </c>
      <c r="G13" s="25" t="n">
        <f aca="false">INDEX('All runs'!$F:$F,MATCH($C13,'All runs'!$B:$B,0))</f>
        <v>0.995064</v>
      </c>
      <c r="H13" s="23" t="s">
        <v>176</v>
      </c>
    </row>
    <row r="15" customFormat="false" ht="15" hidden="false" customHeight="false" outlineLevel="0" collapsed="false">
      <c r="A15" s="6" t="s">
        <v>118</v>
      </c>
      <c r="B15" s="6"/>
      <c r="C15" s="6"/>
      <c r="D15" s="6" t="s">
        <v>177</v>
      </c>
      <c r="E15" s="6" t="s">
        <v>178</v>
      </c>
      <c r="F15" s="6" t="s">
        <v>179</v>
      </c>
      <c r="G15" s="6" t="s">
        <v>180</v>
      </c>
    </row>
    <row r="16" customFormat="false" ht="15" hidden="false" customHeight="false" outlineLevel="0" collapsed="false">
      <c r="A16" s="18" t="s">
        <v>129</v>
      </c>
      <c r="D16" s="21" t="n">
        <f aca="false">D7/D6-1</f>
        <v>1.28748068006182</v>
      </c>
      <c r="E16" s="21" t="n">
        <f aca="false">E7/E6-1</f>
        <v>1.1965811965812</v>
      </c>
      <c r="F16" s="21" t="n">
        <f aca="false">F7/F6-1</f>
        <v>1.16088765603329</v>
      </c>
      <c r="G16" s="35" t="n">
        <f aca="false">(G7-G6)*100</f>
        <v>0.621899999999998</v>
      </c>
    </row>
    <row r="17" customFormat="false" ht="15" hidden="false" customHeight="false" outlineLevel="0" collapsed="false">
      <c r="A17" s="13" t="s">
        <v>133</v>
      </c>
      <c r="D17" s="16" t="n">
        <f aca="false">D10/D9-1</f>
        <v>0.0643063583815029</v>
      </c>
      <c r="E17" s="16" t="n">
        <f aca="false">E10/E9-1</f>
        <v>0.0634249471458774</v>
      </c>
      <c r="F17" s="16" t="n">
        <f aca="false">F10/F9-1</f>
        <v>0.0634588563458856</v>
      </c>
      <c r="G17" s="36" t="n">
        <f aca="false">(G10-G9)*100</f>
        <v>0.0649000000000011</v>
      </c>
    </row>
    <row r="18" customFormat="false" ht="15" hidden="false" customHeight="false" outlineLevel="0" collapsed="false">
      <c r="A18" s="18" t="s">
        <v>135</v>
      </c>
      <c r="D18" s="21" t="n">
        <f aca="false">D13/D12-1</f>
        <v>0.0434782608695652</v>
      </c>
      <c r="E18" s="21" t="n">
        <f aca="false">E13/E12-1</f>
        <v>0.0021707670043416</v>
      </c>
      <c r="F18" s="21" t="n">
        <f aca="false">F13/F12-1</f>
        <v>0.14368932038835</v>
      </c>
      <c r="G18" s="35" t="n">
        <f aca="false">(G13-G12)*100</f>
        <v>-0.2336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181</v>
      </c>
    </row>
    <row r="2" customFormat="false" ht="15" hidden="false" customHeight="false" outlineLevel="0" collapsed="false">
      <c r="A2" s="5" t="s">
        <v>182</v>
      </c>
    </row>
    <row r="4" customFormat="false" ht="15" hidden="false" customHeight="false" outlineLevel="0" collapsed="false">
      <c r="A4" s="6" t="s">
        <v>183</v>
      </c>
      <c r="B4" s="6" t="s">
        <v>119</v>
      </c>
      <c r="C4" s="6" t="s">
        <v>184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185</v>
      </c>
    </row>
    <row r="5" customFormat="false" ht="15" hidden="false" customHeight="false" outlineLevel="0" collapsed="false">
      <c r="A5" s="13" t="s">
        <v>186</v>
      </c>
      <c r="B5" s="13" t="s">
        <v>42</v>
      </c>
      <c r="C5" s="13" t="s">
        <v>187</v>
      </c>
      <c r="D5" s="14" t="n">
        <f aca="false">INDEX('All runs'!$C:$C,MATCH($B5,'All runs'!$B:$B,0))</f>
        <v>322</v>
      </c>
      <c r="E5" s="14" t="n">
        <f aca="false">INDEX('All runs'!$D:$D,MATCH($B5,'All runs'!$B:$B,0))</f>
        <v>530</v>
      </c>
      <c r="F5" s="14" t="n">
        <f aca="false">INDEX('All runs'!$E:$E,MATCH($B5,'All runs'!$B:$B,0))</f>
        <v>1217</v>
      </c>
      <c r="G5" s="15" t="n">
        <f aca="false">INDEX('All runs'!$F:$F,MATCH($B5,'All runs'!$B:$B,0))</f>
        <v>0.997502</v>
      </c>
      <c r="H5" s="16" t="n">
        <f aca="false">D5/$D$5-1</f>
        <v>0</v>
      </c>
    </row>
    <row r="6" customFormat="false" ht="15" hidden="false" customHeight="false" outlineLevel="0" collapsed="false">
      <c r="A6" s="18" t="s">
        <v>188</v>
      </c>
      <c r="B6" s="18" t="s">
        <v>43</v>
      </c>
      <c r="C6" s="18" t="s">
        <v>189</v>
      </c>
      <c r="D6" s="19" t="n">
        <f aca="false">INDEX('All runs'!$C:$C,MATCH($B6,'All runs'!$B:$B,0))</f>
        <v>338</v>
      </c>
      <c r="E6" s="19" t="n">
        <f aca="false">INDEX('All runs'!$D:$D,MATCH($B6,'All runs'!$B:$B,0))</f>
        <v>528</v>
      </c>
      <c r="F6" s="19" t="n">
        <f aca="false">INDEX('All runs'!$E:$E,MATCH($B6,'All runs'!$B:$B,0))</f>
        <v>1276</v>
      </c>
      <c r="G6" s="20" t="n">
        <f aca="false">INDEX('All runs'!$F:$F,MATCH($B6,'All runs'!$B:$B,0))</f>
        <v>0.996435</v>
      </c>
      <c r="H6" s="21" t="n">
        <f aca="false">D6/$D$5-1</f>
        <v>0.0496894409937889</v>
      </c>
    </row>
    <row r="7" customFormat="false" ht="15" hidden="false" customHeight="false" outlineLevel="0" collapsed="false">
      <c r="A7" s="13" t="s">
        <v>190</v>
      </c>
      <c r="B7" s="13" t="s">
        <v>44</v>
      </c>
      <c r="C7" s="13" t="s">
        <v>191</v>
      </c>
      <c r="D7" s="14" t="n">
        <f aca="false">INDEX('All runs'!$C:$C,MATCH($B7,'All runs'!$B:$B,0))</f>
        <v>1645</v>
      </c>
      <c r="E7" s="14" t="n">
        <f aca="false">INDEX('All runs'!$D:$D,MATCH($B7,'All runs'!$B:$B,0))</f>
        <v>2011</v>
      </c>
      <c r="F7" s="14" t="n">
        <f aca="false">INDEX('All runs'!$E:$E,MATCH($B7,'All runs'!$B:$B,0))</f>
        <v>2205</v>
      </c>
      <c r="G7" s="15" t="n">
        <f aca="false">INDEX('All runs'!$F:$F,MATCH($B7,'All runs'!$B:$B,0))</f>
        <v>0.982072</v>
      </c>
      <c r="H7" s="16" t="n">
        <f aca="false">D7/$D$5-1</f>
        <v>4.10869565217391</v>
      </c>
    </row>
    <row r="8" customFormat="false" ht="15" hidden="false" customHeight="false" outlineLevel="0" collapsed="false">
      <c r="A8" s="18" t="s">
        <v>192</v>
      </c>
      <c r="B8" s="18" t="s">
        <v>45</v>
      </c>
      <c r="C8" s="18" t="s">
        <v>193</v>
      </c>
      <c r="D8" s="19" t="n">
        <f aca="false">INDEX('All runs'!$C:$C,MATCH($B8,'All runs'!$B:$B,0))</f>
        <v>1438</v>
      </c>
      <c r="E8" s="19" t="n">
        <f aca="false">INDEX('All runs'!$D:$D,MATCH($B8,'All runs'!$B:$B,0))</f>
        <v>2206</v>
      </c>
      <c r="F8" s="19" t="n">
        <f aca="false">INDEX('All runs'!$E:$E,MATCH($B8,'All runs'!$B:$B,0))</f>
        <v>2476</v>
      </c>
      <c r="G8" s="20" t="n">
        <f aca="false">INDEX('All runs'!$F:$F,MATCH($B8,'All runs'!$B:$B,0))</f>
        <v>0.959074</v>
      </c>
      <c r="H8" s="21" t="n">
        <f aca="false">D8/$D$5-1</f>
        <v>3.46583850931677</v>
      </c>
    </row>
    <row r="9" customFormat="false" ht="15" hidden="false" customHeight="false" outlineLevel="0" collapsed="false">
      <c r="A9" s="13" t="s">
        <v>194</v>
      </c>
      <c r="B9" s="13" t="s">
        <v>46</v>
      </c>
      <c r="C9" s="13" t="s">
        <v>195</v>
      </c>
      <c r="D9" s="14" t="n">
        <f aca="false">INDEX('All runs'!$C:$C,MATCH($B9,'All runs'!$B:$B,0))</f>
        <v>1438</v>
      </c>
      <c r="E9" s="14" t="n">
        <f aca="false">INDEX('All runs'!$D:$D,MATCH($B9,'All runs'!$B:$B,0))</f>
        <v>2131</v>
      </c>
      <c r="F9" s="14" t="n">
        <f aca="false">INDEX('All runs'!$E:$E,MATCH($B9,'All runs'!$B:$B,0))</f>
        <v>2401</v>
      </c>
      <c r="G9" s="15" t="n">
        <f aca="false">INDEX('All runs'!$F:$F,MATCH($B9,'All runs'!$B:$B,0))</f>
        <v>0.984413</v>
      </c>
      <c r="H9" s="16" t="n">
        <f aca="false">D9/$D$5-1</f>
        <v>3.46583850931677</v>
      </c>
    </row>
    <row r="10" customFormat="false" ht="15" hidden="false" customHeight="false" outlineLevel="0" collapsed="false">
      <c r="A10" s="18" t="s">
        <v>196</v>
      </c>
      <c r="B10" s="18" t="s">
        <v>47</v>
      </c>
      <c r="C10" s="18" t="s">
        <v>197</v>
      </c>
      <c r="D10" s="19" t="n">
        <f aca="false">INDEX('All runs'!$C:$C,MATCH($B10,'All runs'!$B:$B,0))</f>
        <v>1645</v>
      </c>
      <c r="E10" s="19" t="n">
        <f aca="false">INDEX('All runs'!$D:$D,MATCH($B10,'All runs'!$B:$B,0))</f>
        <v>2006</v>
      </c>
      <c r="F10" s="19" t="n">
        <f aca="false">INDEX('All runs'!$E:$E,MATCH($B10,'All runs'!$B:$B,0))</f>
        <v>2101</v>
      </c>
      <c r="G10" s="20" t="n">
        <f aca="false">INDEX('All runs'!$F:$F,MATCH($B10,'All runs'!$B:$B,0))</f>
        <v>0.98822</v>
      </c>
      <c r="H10" s="21" t="n">
        <f aca="false">D10/$D$5-1</f>
        <v>4.10869565217391</v>
      </c>
    </row>
    <row r="11" customFormat="false" ht="15" hidden="false" customHeight="false" outlineLevel="0" collapsed="false">
      <c r="A11" s="13" t="s">
        <v>198</v>
      </c>
      <c r="B11" s="13" t="s">
        <v>48</v>
      </c>
      <c r="C11" s="13" t="s">
        <v>199</v>
      </c>
      <c r="D11" s="14" t="n">
        <f aca="false">INDEX('All runs'!$C:$C,MATCH($B11,'All runs'!$B:$B,0))</f>
        <v>1540</v>
      </c>
      <c r="E11" s="14" t="n">
        <f aca="false">INDEX('All runs'!$D:$D,MATCH($B11,'All runs'!$B:$B,0))</f>
        <v>2091</v>
      </c>
      <c r="F11" s="14" t="n">
        <f aca="false">INDEX('All runs'!$E:$E,MATCH($B11,'All runs'!$B:$B,0))</f>
        <v>2251</v>
      </c>
      <c r="G11" s="15" t="n">
        <f aca="false">INDEX('All runs'!$F:$F,MATCH($B11,'All runs'!$B:$B,0))</f>
        <v>0.986576</v>
      </c>
      <c r="H11" s="16" t="n">
        <f aca="false">D11/$D$5-1</f>
        <v>3.78260869565217</v>
      </c>
    </row>
    <row r="12" customFormat="false" ht="15" hidden="false" customHeight="false" outlineLevel="0" collapsed="false">
      <c r="A12" s="18" t="s">
        <v>200</v>
      </c>
      <c r="B12" s="18" t="s">
        <v>49</v>
      </c>
      <c r="C12" s="18" t="s">
        <v>201</v>
      </c>
      <c r="D12" s="19" t="n">
        <f aca="false">INDEX('All runs'!$C:$C,MATCH($B12,'All runs'!$B:$B,0))</f>
        <v>1645</v>
      </c>
      <c r="E12" s="19" t="n">
        <f aca="false">INDEX('All runs'!$D:$D,MATCH($B12,'All runs'!$B:$B,0))</f>
        <v>2011</v>
      </c>
      <c r="F12" s="19" t="n">
        <f aca="false">INDEX('All runs'!$E:$E,MATCH($B12,'All runs'!$B:$B,0))</f>
        <v>2106</v>
      </c>
      <c r="G12" s="20" t="n">
        <f aca="false">INDEX('All runs'!$F:$F,MATCH($B12,'All runs'!$B:$B,0))</f>
        <v>0.985626</v>
      </c>
      <c r="H12" s="21" t="n">
        <f aca="false">D12/$D$5-1</f>
        <v>4.10869565217391</v>
      </c>
    </row>
    <row r="13" customFormat="false" ht="15" hidden="false" customHeight="false" outlineLevel="0" collapsed="false">
      <c r="A13" s="13" t="s">
        <v>202</v>
      </c>
      <c r="B13" s="13" t="s">
        <v>50</v>
      </c>
      <c r="C13" s="13" t="s">
        <v>203</v>
      </c>
      <c r="D13" s="14" t="n">
        <f aca="false">INDEX('All runs'!$C:$C,MATCH($B13,'All runs'!$B:$B,0))</f>
        <v>1415</v>
      </c>
      <c r="E13" s="14" t="n">
        <f aca="false">INDEX('All runs'!$D:$D,MATCH($B13,'All runs'!$B:$B,0))</f>
        <v>1916</v>
      </c>
      <c r="F13" s="14" t="n">
        <f aca="false">INDEX('All runs'!$E:$E,MATCH($B13,'All runs'!$B:$B,0))</f>
        <v>2016</v>
      </c>
      <c r="G13" s="15" t="n">
        <f aca="false">INDEX('All runs'!$F:$F,MATCH($B13,'All runs'!$B:$B,0))</f>
        <v>0.987496</v>
      </c>
      <c r="H13" s="16" t="n">
        <f aca="false">D13/$D$5-1</f>
        <v>3.3944099378882</v>
      </c>
    </row>
    <row r="14" customFormat="false" ht="15" hidden="false" customHeight="false" outlineLevel="0" collapsed="false">
      <c r="A14" s="18" t="s">
        <v>204</v>
      </c>
      <c r="B14" s="18" t="s">
        <v>51</v>
      </c>
      <c r="C14" s="18" t="s">
        <v>205</v>
      </c>
      <c r="D14" s="19" t="n">
        <f aca="false">INDEX('All runs'!$C:$C,MATCH($B14,'All runs'!$B:$B,0))</f>
        <v>1409</v>
      </c>
      <c r="E14" s="19" t="n">
        <f aca="false">INDEX('All runs'!$D:$D,MATCH($B14,'All runs'!$B:$B,0))</f>
        <v>1824</v>
      </c>
      <c r="F14" s="19" t="n">
        <f aca="false">INDEX('All runs'!$E:$E,MATCH($B14,'All runs'!$B:$B,0))</f>
        <v>1936</v>
      </c>
      <c r="G14" s="20" t="n">
        <f aca="false">INDEX('All runs'!$F:$F,MATCH($B14,'All runs'!$B:$B,0))</f>
        <v>0.977653</v>
      </c>
      <c r="H14" s="21" t="n">
        <f aca="false">D14/$D$5-1</f>
        <v>3.37577639751553</v>
      </c>
    </row>
    <row r="15" customFormat="false" ht="15" hidden="false" customHeight="false" outlineLevel="0" collapsed="false">
      <c r="A15" s="13" t="s">
        <v>206</v>
      </c>
      <c r="B15" s="13" t="s">
        <v>52</v>
      </c>
      <c r="C15" s="13" t="s">
        <v>207</v>
      </c>
      <c r="D15" s="14" t="n">
        <f aca="false">INDEX('All runs'!$C:$C,MATCH($B15,'All runs'!$B:$B,0))</f>
        <v>1415</v>
      </c>
      <c r="E15" s="14" t="n">
        <f aca="false">INDEX('All runs'!$D:$D,MATCH($B15,'All runs'!$B:$B,0))</f>
        <v>1911</v>
      </c>
      <c r="F15" s="14" t="n">
        <f aca="false">INDEX('All runs'!$E:$E,MATCH($B15,'All runs'!$B:$B,0))</f>
        <v>2001</v>
      </c>
      <c r="G15" s="15" t="n">
        <f aca="false">INDEX('All runs'!$F:$F,MATCH($B15,'All runs'!$B:$B,0))</f>
        <v>0.991026</v>
      </c>
      <c r="H15" s="16" t="n">
        <f aca="false">D15/$D$5-1</f>
        <v>3.3944099378882</v>
      </c>
    </row>
    <row r="16" customFormat="false" ht="15" hidden="false" customHeight="false" outlineLevel="0" collapsed="false">
      <c r="A16" s="18" t="s">
        <v>208</v>
      </c>
      <c r="B16" s="18" t="s">
        <v>53</v>
      </c>
      <c r="C16" s="18" t="s">
        <v>209</v>
      </c>
      <c r="D16" s="19" t="n">
        <f aca="false">INDEX('All runs'!$C:$C,MATCH($B16,'All runs'!$B:$B,0))</f>
        <v>1409</v>
      </c>
      <c r="E16" s="19" t="n">
        <f aca="false">INDEX('All runs'!$D:$D,MATCH($B16,'All runs'!$B:$B,0))</f>
        <v>1801</v>
      </c>
      <c r="F16" s="19" t="n">
        <f aca="false">INDEX('All runs'!$E:$E,MATCH($B16,'All runs'!$B:$B,0))</f>
        <v>1906</v>
      </c>
      <c r="G16" s="20" t="n">
        <f aca="false">INDEX('All runs'!$F:$F,MATCH($B16,'All runs'!$B:$B,0))</f>
        <v>0.989727</v>
      </c>
      <c r="H16" s="21" t="n">
        <f aca="false">D16/$D$5-1</f>
        <v>3.37577639751553</v>
      </c>
    </row>
    <row r="17" customFormat="false" ht="15" hidden="false" customHeight="false" outlineLevel="0" collapsed="false">
      <c r="A17" s="13" t="s">
        <v>210</v>
      </c>
      <c r="B17" s="13" t="s">
        <v>54</v>
      </c>
      <c r="C17" s="13" t="s">
        <v>211</v>
      </c>
      <c r="D17" s="14" t="n">
        <f aca="false">INDEX('All runs'!$C:$C,MATCH($B17,'All runs'!$B:$B,0))</f>
        <v>1471</v>
      </c>
      <c r="E17" s="14" t="n">
        <f aca="false">INDEX('All runs'!$D:$D,MATCH($B17,'All runs'!$B:$B,0))</f>
        <v>1916</v>
      </c>
      <c r="F17" s="14" t="n">
        <f aca="false">INDEX('All runs'!$E:$E,MATCH($B17,'All runs'!$B:$B,0))</f>
        <v>2006</v>
      </c>
      <c r="G17" s="15" t="n">
        <f aca="false">INDEX('All runs'!$F:$F,MATCH($B17,'All runs'!$B:$B,0))</f>
        <v>0.990728</v>
      </c>
      <c r="H17" s="16" t="n">
        <f aca="false">D17/$D$5-1</f>
        <v>3.56832298136646</v>
      </c>
    </row>
    <row r="18" customFormat="false" ht="15" hidden="false" customHeight="false" outlineLevel="0" collapsed="false">
      <c r="A18" s="18" t="s">
        <v>212</v>
      </c>
      <c r="B18" s="18" t="s">
        <v>55</v>
      </c>
      <c r="C18" s="18" t="s">
        <v>213</v>
      </c>
      <c r="D18" s="19" t="n">
        <f aca="false">INDEX('All runs'!$C:$C,MATCH($B18,'All runs'!$B:$B,0))</f>
        <v>1421</v>
      </c>
      <c r="E18" s="19" t="n">
        <f aca="false">INDEX('All runs'!$D:$D,MATCH($B18,'All runs'!$B:$B,0))</f>
        <v>1991</v>
      </c>
      <c r="F18" s="19" t="n">
        <f aca="false">INDEX('All runs'!$E:$E,MATCH($B18,'All runs'!$B:$B,0))</f>
        <v>2193</v>
      </c>
      <c r="G18" s="20" t="n">
        <f aca="false">INDEX('All runs'!$F:$F,MATCH($B18,'All runs'!$B:$B,0))</f>
        <v>0.982688</v>
      </c>
      <c r="H18" s="21" t="n">
        <f aca="false">D18/$D$5-1</f>
        <v>3.41304347826087</v>
      </c>
    </row>
    <row r="19" customFormat="false" ht="15" hidden="false" customHeight="false" outlineLevel="0" collapsed="false">
      <c r="A19" s="13" t="s">
        <v>214</v>
      </c>
      <c r="B19" s="13" t="s">
        <v>56</v>
      </c>
      <c r="C19" s="13" t="s">
        <v>215</v>
      </c>
      <c r="D19" s="14" t="n">
        <f aca="false">INDEX('All runs'!$C:$C,MATCH($B19,'All runs'!$B:$B,0))</f>
        <v>2501</v>
      </c>
      <c r="E19" s="14" t="n">
        <f aca="false">INDEX('All runs'!$D:$D,MATCH($B19,'All runs'!$B:$B,0))</f>
        <v>2589</v>
      </c>
      <c r="F19" s="14" t="n">
        <f aca="false">INDEX('All runs'!$E:$E,MATCH($B19,'All runs'!$B:$B,0))</f>
        <v>2636</v>
      </c>
      <c r="G19" s="15" t="n">
        <f aca="false">INDEX('All runs'!$F:$F,MATCH($B19,'All runs'!$B:$B,0))</f>
        <v>0.996527</v>
      </c>
      <c r="H19" s="16" t="n">
        <f aca="false">D19/$D$5-1</f>
        <v>6.76708074534162</v>
      </c>
    </row>
    <row r="20" customFormat="false" ht="15" hidden="false" customHeight="false" outlineLevel="0" collapsed="false">
      <c r="A20" s="18" t="s">
        <v>216</v>
      </c>
      <c r="B20" s="18" t="s">
        <v>57</v>
      </c>
      <c r="C20" s="18" t="s">
        <v>209</v>
      </c>
      <c r="D20" s="19" t="n">
        <f aca="false">INDEX('All runs'!$C:$C,MATCH($B20,'All runs'!$B:$B,0))</f>
        <v>1441</v>
      </c>
      <c r="E20" s="19" t="n">
        <f aca="false">INDEX('All runs'!$D:$D,MATCH($B20,'All runs'!$B:$B,0))</f>
        <v>1596</v>
      </c>
      <c r="F20" s="19" t="n">
        <f aca="false">INDEX('All runs'!$E:$E,MATCH($B20,'All runs'!$B:$B,0))</f>
        <v>1646</v>
      </c>
      <c r="G20" s="20" t="n">
        <f aca="false">INDEX('All runs'!$F:$F,MATCH($B20,'All runs'!$B:$B,0))</f>
        <v>0.994649</v>
      </c>
      <c r="H20" s="21" t="n">
        <f aca="false">D20/$D$5-1</f>
        <v>3.47515527950311</v>
      </c>
    </row>
    <row r="21" customFormat="false" ht="15" hidden="false" customHeight="false" outlineLevel="0" collapsed="false">
      <c r="A21" s="23" t="s">
        <v>217</v>
      </c>
      <c r="B21" s="23" t="s">
        <v>58</v>
      </c>
      <c r="C21" s="23" t="s">
        <v>218</v>
      </c>
      <c r="D21" s="24" t="n">
        <f aca="false">INDEX('All runs'!$C:$C,MATCH($B21,'All runs'!$B:$B,0))</f>
        <v>2501</v>
      </c>
      <c r="E21" s="24" t="n">
        <f aca="false">INDEX('All runs'!$D:$D,MATCH($B21,'All runs'!$B:$B,0))</f>
        <v>2589</v>
      </c>
      <c r="F21" s="24" t="n">
        <f aca="false">INDEX('All runs'!$E:$E,MATCH($B21,'All runs'!$B:$B,0))</f>
        <v>2631</v>
      </c>
      <c r="G21" s="25" t="n">
        <f aca="false">INDEX('All runs'!$F:$F,MATCH($B21,'All runs'!$B:$B,0))</f>
        <v>0.996392</v>
      </c>
      <c r="H21" s="26" t="n">
        <f aca="false">D21/$D$5-1</f>
        <v>6.76708074534162</v>
      </c>
    </row>
    <row r="22" customFormat="false" ht="15" hidden="false" customHeight="false" outlineLevel="0" collapsed="false">
      <c r="A22" s="18" t="s">
        <v>219</v>
      </c>
      <c r="B22" s="18" t="s">
        <v>59</v>
      </c>
      <c r="C22" s="18" t="s">
        <v>209</v>
      </c>
      <c r="D22" s="19" t="n">
        <f aca="false">INDEX('All runs'!$C:$C,MATCH($B22,'All runs'!$B:$B,0))</f>
        <v>1671</v>
      </c>
      <c r="E22" s="19" t="n">
        <f aca="false">INDEX('All runs'!$D:$D,MATCH($B22,'All runs'!$B:$B,0))</f>
        <v>1851</v>
      </c>
      <c r="F22" s="19" t="n">
        <f aca="false">INDEX('All runs'!$E:$E,MATCH($B22,'All runs'!$B:$B,0))</f>
        <v>1906</v>
      </c>
      <c r="G22" s="20" t="n">
        <f aca="false">INDEX('All runs'!$F:$F,MATCH($B22,'All runs'!$B:$B,0))</f>
        <v>0.993581</v>
      </c>
      <c r="H22" s="21" t="n">
        <f aca="false">D22/$D$5-1</f>
        <v>4.18944099378882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220</v>
      </c>
    </row>
    <row r="2" customFormat="false" ht="15" hidden="false" customHeight="false" outlineLevel="0" collapsed="false">
      <c r="A2" s="5" t="s">
        <v>221</v>
      </c>
    </row>
    <row r="4" customFormat="false" ht="15" hidden="false" customHeight="false" outlineLevel="0" collapsed="false">
      <c r="A4" s="6" t="s">
        <v>119</v>
      </c>
      <c r="B4" s="6" t="s">
        <v>222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223</v>
      </c>
    </row>
    <row r="5" customFormat="false" ht="15" hidden="false" customHeight="false" outlineLevel="0" collapsed="false">
      <c r="A5" s="23" t="s">
        <v>56</v>
      </c>
      <c r="B5" s="23" t="s">
        <v>224</v>
      </c>
      <c r="C5" s="24" t="n">
        <f aca="false">INDEX('All runs'!$C:$C,MATCH($A5,'All runs'!$B:$B,0))</f>
        <v>2501</v>
      </c>
      <c r="D5" s="24" t="n">
        <f aca="false">INDEX('All runs'!$D:$D,MATCH($A5,'All runs'!$B:$B,0))</f>
        <v>2589</v>
      </c>
      <c r="E5" s="24" t="n">
        <f aca="false">INDEX('All runs'!$E:$E,MATCH($A5,'All runs'!$B:$B,0))</f>
        <v>2636</v>
      </c>
      <c r="F5" s="25" t="n">
        <f aca="false">INDEX('All runs'!$F:$F,MATCH($A5,'All runs'!$B:$B,0))</f>
        <v>0.996527</v>
      </c>
      <c r="G5" s="26" t="n">
        <f aca="false">C5/$C$5-1</f>
        <v>0</v>
      </c>
    </row>
    <row r="6" customFormat="false" ht="15" hidden="false" customHeight="false" outlineLevel="0" collapsed="false">
      <c r="A6" s="18" t="s">
        <v>63</v>
      </c>
      <c r="B6" s="18" t="s">
        <v>225</v>
      </c>
      <c r="C6" s="19" t="n">
        <f aca="false">INDEX('All runs'!$C:$C,MATCH($A6,'All runs'!$B:$B,0))</f>
        <v>2501</v>
      </c>
      <c r="D6" s="19" t="n">
        <f aca="false">INDEX('All runs'!$D:$D,MATCH($A6,'All runs'!$B:$B,0))</f>
        <v>2589</v>
      </c>
      <c r="E6" s="19" t="n">
        <f aca="false">INDEX('All runs'!$E:$E,MATCH($A6,'All runs'!$B:$B,0))</f>
        <v>2636</v>
      </c>
      <c r="F6" s="20" t="n">
        <f aca="false">INDEX('All runs'!$F:$F,MATCH($A6,'All runs'!$B:$B,0))</f>
        <v>0.996527</v>
      </c>
      <c r="G6" s="21" t="n">
        <f aca="false">C6/$C$5-1</f>
        <v>0</v>
      </c>
    </row>
    <row r="7" customFormat="false" ht="15" hidden="false" customHeight="false" outlineLevel="0" collapsed="false">
      <c r="A7" s="13" t="s">
        <v>64</v>
      </c>
      <c r="B7" s="13" t="s">
        <v>226</v>
      </c>
      <c r="C7" s="14" t="n">
        <f aca="false">INDEX('All runs'!$C:$C,MATCH($A7,'All runs'!$B:$B,0))</f>
        <v>2496</v>
      </c>
      <c r="D7" s="14" t="n">
        <f aca="false">INDEX('All runs'!$D:$D,MATCH($A7,'All runs'!$B:$B,0))</f>
        <v>2581</v>
      </c>
      <c r="E7" s="14" t="n">
        <f aca="false">INDEX('All runs'!$E:$E,MATCH($A7,'All runs'!$B:$B,0))</f>
        <v>2641</v>
      </c>
      <c r="F7" s="15" t="n">
        <f aca="false">INDEX('All runs'!$F:$F,MATCH($A7,'All runs'!$B:$B,0))</f>
        <v>0.996573</v>
      </c>
      <c r="G7" s="16" t="n">
        <f aca="false">C7/$C$5-1</f>
        <v>-0.001999200319872</v>
      </c>
    </row>
    <row r="8" customFormat="false" ht="15" hidden="false" customHeight="false" outlineLevel="0" collapsed="false">
      <c r="A8" s="18" t="s">
        <v>65</v>
      </c>
      <c r="B8" s="18" t="s">
        <v>227</v>
      </c>
      <c r="C8" s="19" t="n">
        <f aca="false">INDEX('All runs'!$C:$C,MATCH($A8,'All runs'!$B:$B,0))</f>
        <v>2501</v>
      </c>
      <c r="D8" s="19" t="n">
        <f aca="false">INDEX('All runs'!$D:$D,MATCH($A8,'All runs'!$B:$B,0))</f>
        <v>2586</v>
      </c>
      <c r="E8" s="19" t="n">
        <f aca="false">INDEX('All runs'!$E:$E,MATCH($A8,'All runs'!$B:$B,0))</f>
        <v>2626</v>
      </c>
      <c r="F8" s="20" t="n">
        <f aca="false">INDEX('All runs'!$F:$F,MATCH($A8,'All runs'!$B:$B,0))</f>
        <v>0.997107</v>
      </c>
      <c r="G8" s="21" t="n">
        <f aca="false">C8/$C$5-1</f>
        <v>0</v>
      </c>
    </row>
    <row r="9" customFormat="false" ht="15" hidden="false" customHeight="false" outlineLevel="0" collapsed="false">
      <c r="A9" s="13" t="s">
        <v>66</v>
      </c>
      <c r="B9" s="13" t="s">
        <v>228</v>
      </c>
      <c r="C9" s="14" t="n">
        <f aca="false">INDEX('All runs'!$C:$C,MATCH($A9,'All runs'!$B:$B,0))</f>
        <v>1766</v>
      </c>
      <c r="D9" s="14" t="n">
        <f aca="false">INDEX('All runs'!$D:$D,MATCH($A9,'All runs'!$B:$B,0))</f>
        <v>1946</v>
      </c>
      <c r="E9" s="14" t="n">
        <f aca="false">INDEX('All runs'!$E:$E,MATCH($A9,'All runs'!$B:$B,0))</f>
        <v>2021</v>
      </c>
      <c r="F9" s="15" t="n">
        <f aca="false">INDEX('All runs'!$F:$F,MATCH($A9,'All runs'!$B:$B,0))</f>
        <v>0.994142</v>
      </c>
      <c r="G9" s="16" t="n">
        <f aca="false">C9/$C$5-1</f>
        <v>-0.293882447021192</v>
      </c>
    </row>
    <row r="10" customFormat="false" ht="15" hidden="false" customHeight="false" outlineLevel="0" collapsed="false">
      <c r="A10" s="18" t="s">
        <v>67</v>
      </c>
      <c r="B10" s="18" t="s">
        <v>229</v>
      </c>
      <c r="C10" s="19" t="n">
        <f aca="false">INDEX('All runs'!$C:$C,MATCH($A10,'All runs'!$B:$B,0))</f>
        <v>2106</v>
      </c>
      <c r="D10" s="19" t="n">
        <f aca="false">INDEX('All runs'!$D:$D,MATCH($A10,'All runs'!$B:$B,0))</f>
        <v>2516</v>
      </c>
      <c r="E10" s="19" t="n">
        <f aca="false">INDEX('All runs'!$E:$E,MATCH($A10,'All runs'!$B:$B,0))</f>
        <v>2616</v>
      </c>
      <c r="F10" s="20" t="n">
        <f aca="false">INDEX('All runs'!$F:$F,MATCH($A10,'All runs'!$B:$B,0))</f>
        <v>0.997063</v>
      </c>
      <c r="G10" s="21" t="n">
        <f aca="false">C10/$C$5-1</f>
        <v>-0.157936825269892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230</v>
      </c>
    </row>
    <row r="2" customFormat="false" ht="15" hidden="false" customHeight="false" outlineLevel="0" collapsed="false">
      <c r="A2" s="5" t="s">
        <v>231</v>
      </c>
    </row>
    <row r="4" customFormat="false" ht="15" hidden="false" customHeight="false" outlineLevel="0" collapsed="false">
      <c r="A4" s="6" t="s">
        <v>119</v>
      </c>
      <c r="B4" s="6" t="s">
        <v>232</v>
      </c>
      <c r="C4" s="6" t="s">
        <v>233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234</v>
      </c>
    </row>
    <row r="5" customFormat="false" ht="15" hidden="false" customHeight="false" outlineLevel="0" collapsed="false">
      <c r="A5" s="13" t="s">
        <v>69</v>
      </c>
      <c r="B5" s="13" t="s">
        <v>235</v>
      </c>
      <c r="C5" s="13" t="s">
        <v>236</v>
      </c>
      <c r="D5" s="14" t="n">
        <f aca="false">INDEX('All runs'!$C:$C,MATCH($A5,'All runs'!$B:$B,0))</f>
        <v>2501</v>
      </c>
      <c r="E5" s="14" t="n">
        <f aca="false">INDEX('All runs'!$D:$D,MATCH($A5,'All runs'!$B:$B,0))</f>
        <v>2589</v>
      </c>
      <c r="F5" s="14" t="n">
        <f aca="false">INDEX('All runs'!$E:$E,MATCH($A5,'All runs'!$B:$B,0))</f>
        <v>2636</v>
      </c>
      <c r="G5" s="15" t="n">
        <f aca="false">INDEX('All runs'!$F:$F,MATCH($A5,'All runs'!$B:$B,0))</f>
        <v>0.996527</v>
      </c>
      <c r="H5" s="16" t="n">
        <f aca="false">D5/$D$5-1</f>
        <v>0</v>
      </c>
    </row>
    <row r="6" customFormat="false" ht="15" hidden="false" customHeight="false" outlineLevel="0" collapsed="false">
      <c r="A6" s="18" t="s">
        <v>70</v>
      </c>
      <c r="B6" s="18" t="s">
        <v>235</v>
      </c>
      <c r="C6" s="18" t="s">
        <v>237</v>
      </c>
      <c r="D6" s="19" t="n">
        <f aca="false">INDEX('All runs'!$C:$C,MATCH($A6,'All runs'!$B:$B,0))</f>
        <v>2436</v>
      </c>
      <c r="E6" s="19" t="n">
        <f aca="false">INDEX('All runs'!$D:$D,MATCH($A6,'All runs'!$B:$B,0))</f>
        <v>2531</v>
      </c>
      <c r="F6" s="19" t="n">
        <f aca="false">INDEX('All runs'!$E:$E,MATCH($A6,'All runs'!$B:$B,0))</f>
        <v>2561</v>
      </c>
      <c r="G6" s="20" t="n">
        <f aca="false">INDEX('All runs'!$F:$F,MATCH($A6,'All runs'!$B:$B,0))</f>
        <v>0.996404</v>
      </c>
      <c r="H6" s="21" t="n">
        <f aca="false">D6/$D$5-1</f>
        <v>-0.0259896041583366</v>
      </c>
    </row>
    <row r="7" customFormat="false" ht="15" hidden="false" customHeight="false" outlineLevel="0" collapsed="false">
      <c r="A7" s="23" t="s">
        <v>71</v>
      </c>
      <c r="B7" s="23" t="s">
        <v>235</v>
      </c>
      <c r="C7" s="23" t="s">
        <v>238</v>
      </c>
      <c r="D7" s="24" t="n">
        <f aca="false">INDEX('All runs'!$C:$C,MATCH($A7,'All runs'!$B:$B,0))</f>
        <v>2501</v>
      </c>
      <c r="E7" s="24" t="n">
        <f aca="false">INDEX('All runs'!$D:$D,MATCH($A7,'All runs'!$B:$B,0))</f>
        <v>2589</v>
      </c>
      <c r="F7" s="24" t="n">
        <f aca="false">INDEX('All runs'!$E:$E,MATCH($A7,'All runs'!$B:$B,0))</f>
        <v>2631</v>
      </c>
      <c r="G7" s="25" t="n">
        <f aca="false">INDEX('All runs'!$F:$F,MATCH($A7,'All runs'!$B:$B,0))</f>
        <v>0.996392</v>
      </c>
      <c r="H7" s="26" t="n">
        <f aca="false">D7/$D$5-1</f>
        <v>0</v>
      </c>
    </row>
    <row r="8" customFormat="false" ht="15" hidden="false" customHeight="false" outlineLevel="0" collapsed="false">
      <c r="A8" s="18" t="s">
        <v>72</v>
      </c>
      <c r="B8" s="18" t="s">
        <v>239</v>
      </c>
      <c r="C8" s="18" t="s">
        <v>236</v>
      </c>
      <c r="D8" s="19" t="n">
        <f aca="false">INDEX('All runs'!$C:$C,MATCH($A8,'All runs'!$B:$B,0))</f>
        <v>1441</v>
      </c>
      <c r="E8" s="19" t="n">
        <f aca="false">INDEX('All runs'!$D:$D,MATCH($A8,'All runs'!$B:$B,0))</f>
        <v>1596</v>
      </c>
      <c r="F8" s="19" t="n">
        <f aca="false">INDEX('All runs'!$E:$E,MATCH($A8,'All runs'!$B:$B,0))</f>
        <v>1646</v>
      </c>
      <c r="G8" s="20" t="n">
        <f aca="false">INDEX('All runs'!$F:$F,MATCH($A8,'All runs'!$B:$B,0))</f>
        <v>0.994649</v>
      </c>
      <c r="H8" s="21" t="n">
        <f aca="false">D8/$D$8-1</f>
        <v>0</v>
      </c>
    </row>
    <row r="9" customFormat="false" ht="15" hidden="false" customHeight="false" outlineLevel="0" collapsed="false">
      <c r="A9" s="13" t="s">
        <v>73</v>
      </c>
      <c r="B9" s="13" t="s">
        <v>239</v>
      </c>
      <c r="C9" s="13" t="s">
        <v>237</v>
      </c>
      <c r="D9" s="14" t="n">
        <f aca="false">INDEX('All runs'!$C:$C,MATCH($A9,'All runs'!$B:$B,0))</f>
        <v>1636</v>
      </c>
      <c r="E9" s="14" t="n">
        <f aca="false">INDEX('All runs'!$D:$D,MATCH($A9,'All runs'!$B:$B,0))</f>
        <v>1846</v>
      </c>
      <c r="F9" s="14" t="n">
        <f aca="false">INDEX('All runs'!$E:$E,MATCH($A9,'All runs'!$B:$B,0))</f>
        <v>1891</v>
      </c>
      <c r="G9" s="15" t="n">
        <f aca="false">INDEX('All runs'!$F:$F,MATCH($A9,'All runs'!$B:$B,0))</f>
        <v>0.994479</v>
      </c>
      <c r="H9" s="16" t="n">
        <f aca="false">D9/$D$8-1</f>
        <v>0.135322692574601</v>
      </c>
    </row>
    <row r="10" customFormat="false" ht="15" hidden="false" customHeight="false" outlineLevel="0" collapsed="false">
      <c r="A10" s="23" t="s">
        <v>74</v>
      </c>
      <c r="B10" s="23" t="s">
        <v>239</v>
      </c>
      <c r="C10" s="23" t="s">
        <v>238</v>
      </c>
      <c r="D10" s="24" t="n">
        <f aca="false">INDEX('All runs'!$C:$C,MATCH($A10,'All runs'!$B:$B,0))</f>
        <v>1671</v>
      </c>
      <c r="E10" s="24" t="n">
        <f aca="false">INDEX('All runs'!$D:$D,MATCH($A10,'All runs'!$B:$B,0))</f>
        <v>1851</v>
      </c>
      <c r="F10" s="24" t="n">
        <f aca="false">INDEX('All runs'!$E:$E,MATCH($A10,'All runs'!$B:$B,0))</f>
        <v>1906</v>
      </c>
      <c r="G10" s="25" t="n">
        <f aca="false">INDEX('All runs'!$F:$F,MATCH($A10,'All runs'!$B:$B,0))</f>
        <v>0.993581</v>
      </c>
      <c r="H10" s="26" t="n">
        <f aca="false">D10/$D$8-1</f>
        <v>0.159611380985427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6" min="4" style="0" width="9"/>
    <col collapsed="false" customWidth="true" hidden="false" outlineLevel="0" max="9" min="7" style="0" width="10"/>
    <col collapsed="false" customWidth="true" hidden="false" outlineLevel="0" max="10" min="10" style="0" width="11"/>
  </cols>
  <sheetData>
    <row r="1" customFormat="false" ht="17.3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5" t="s">
        <v>241</v>
      </c>
    </row>
    <row r="4" customFormat="false" ht="15" hidden="false" customHeight="false" outlineLevel="0" collapsed="false">
      <c r="A4" s="6" t="s">
        <v>118</v>
      </c>
      <c r="B4" s="6" t="s">
        <v>242</v>
      </c>
      <c r="C4" s="6" t="s">
        <v>119</v>
      </c>
      <c r="D4" s="6" t="s">
        <v>18</v>
      </c>
      <c r="E4" s="6" t="s">
        <v>19</v>
      </c>
      <c r="F4" s="6" t="s">
        <v>20</v>
      </c>
      <c r="G4" s="6" t="s">
        <v>21</v>
      </c>
    </row>
    <row r="5" customFormat="false" ht="15" hidden="false" customHeight="false" outlineLevel="0" collapsed="false">
      <c r="A5" s="13" t="s">
        <v>243</v>
      </c>
      <c r="B5" s="37" t="s">
        <v>244</v>
      </c>
      <c r="C5" s="13" t="s">
        <v>77</v>
      </c>
      <c r="D5" s="14" t="n">
        <f aca="false">INDEX('All runs'!$C:$C,MATCH($C5,'All runs'!$B:$B,0))</f>
        <v>1645</v>
      </c>
      <c r="E5" s="14" t="n">
        <f aca="false">INDEX('All runs'!$D:$D,MATCH($C5,'All runs'!$B:$B,0))</f>
        <v>2011</v>
      </c>
      <c r="F5" s="14" t="n">
        <f aca="false">INDEX('All runs'!$E:$E,MATCH($C5,'All runs'!$B:$B,0))</f>
        <v>2106</v>
      </c>
      <c r="G5" s="15" t="n">
        <f aca="false">INDEX('All runs'!$F:$F,MATCH($C5,'All runs'!$B:$B,0))</f>
        <v>0.985626</v>
      </c>
    </row>
    <row r="6" customFormat="false" ht="15" hidden="false" customHeight="false" outlineLevel="0" collapsed="false">
      <c r="A6" s="18" t="s">
        <v>243</v>
      </c>
      <c r="B6" s="38" t="s">
        <v>245</v>
      </c>
      <c r="C6" s="18" t="s">
        <v>76</v>
      </c>
      <c r="D6" s="19" t="n">
        <f aca="false">INDEX('All runs'!$C:$C,MATCH($C6,'All runs'!$B:$B,0))</f>
        <v>1602</v>
      </c>
      <c r="E6" s="19" t="n">
        <f aca="false">INDEX('All runs'!$D:$D,MATCH($C6,'All runs'!$B:$B,0))</f>
        <v>2040</v>
      </c>
      <c r="F6" s="19" t="n">
        <f aca="false">INDEX('All runs'!$E:$E,MATCH($C6,'All runs'!$B:$B,0))</f>
        <v>2126</v>
      </c>
      <c r="G6" s="20" t="n">
        <f aca="false">INDEX('All runs'!$F:$F,MATCH($C6,'All runs'!$B:$B,0))</f>
        <v>0.984329</v>
      </c>
    </row>
    <row r="7" customFormat="false" ht="15" hidden="false" customHeight="false" outlineLevel="0" collapsed="false">
      <c r="A7" s="13" t="s">
        <v>243</v>
      </c>
      <c r="B7" s="37" t="s">
        <v>246</v>
      </c>
      <c r="C7" s="13" t="s">
        <v>82</v>
      </c>
      <c r="D7" s="14" t="n">
        <f aca="false">INDEX('All runs'!$C:$C,MATCH($C7,'All runs'!$B:$B,0))</f>
        <v>1725</v>
      </c>
      <c r="E7" s="14" t="n">
        <f aca="false">INDEX('All runs'!$D:$D,MATCH($C7,'All runs'!$B:$B,0))</f>
        <v>2066</v>
      </c>
      <c r="F7" s="14" t="n">
        <f aca="false">INDEX('All runs'!$E:$E,MATCH($C7,'All runs'!$B:$B,0))</f>
        <v>2701</v>
      </c>
      <c r="G7" s="15" t="n">
        <f aca="false">INDEX('All runs'!$F:$F,MATCH($C7,'All runs'!$B:$B,0))</f>
        <v>0.973292</v>
      </c>
    </row>
    <row r="8" customFormat="false" ht="15" hidden="false" customHeight="false" outlineLevel="0" collapsed="false">
      <c r="A8" s="18" t="s">
        <v>243</v>
      </c>
      <c r="B8" s="38" t="s">
        <v>247</v>
      </c>
      <c r="C8" s="18" t="s">
        <v>80</v>
      </c>
      <c r="D8" s="19" t="n">
        <f aca="false">INDEX('All runs'!$C:$C,MATCH($C8,'All runs'!$B:$B,0))</f>
        <v>1666</v>
      </c>
      <c r="E8" s="19" t="n">
        <f aca="false">INDEX('All runs'!$D:$D,MATCH($C8,'All runs'!$B:$B,0))</f>
        <v>2061</v>
      </c>
      <c r="F8" s="19" t="n">
        <f aca="false">INDEX('All runs'!$E:$E,MATCH($C8,'All runs'!$B:$B,0))</f>
        <v>2302</v>
      </c>
      <c r="G8" s="20" t="n">
        <f aca="false">INDEX('All runs'!$F:$F,MATCH($C8,'All runs'!$B:$B,0))</f>
        <v>0.980665</v>
      </c>
    </row>
    <row r="9" customFormat="false" ht="15" hidden="false" customHeight="false" outlineLevel="0" collapsed="false">
      <c r="A9" s="13" t="s">
        <v>243</v>
      </c>
      <c r="B9" s="37" t="s">
        <v>248</v>
      </c>
      <c r="C9" s="13" t="s">
        <v>83</v>
      </c>
      <c r="D9" s="14" t="n">
        <f aca="false">INDEX('All runs'!$C:$C,MATCH($C9,'All runs'!$B:$B,0))</f>
        <v>1639</v>
      </c>
      <c r="E9" s="14" t="n">
        <f aca="false">INDEX('All runs'!$D:$D,MATCH($C9,'All runs'!$B:$B,0))</f>
        <v>2045</v>
      </c>
      <c r="F9" s="14" t="n">
        <f aca="false">INDEX('All runs'!$E:$E,MATCH($C9,'All runs'!$B:$B,0))</f>
        <v>2146</v>
      </c>
      <c r="G9" s="15" t="n">
        <f aca="false">INDEX('All runs'!$F:$F,MATCH($C9,'All runs'!$B:$B,0))</f>
        <v>0.979466</v>
      </c>
    </row>
    <row r="10" customFormat="false" ht="15" hidden="false" customHeight="false" outlineLevel="0" collapsed="false">
      <c r="A10" s="18" t="s">
        <v>243</v>
      </c>
      <c r="B10" s="38" t="s">
        <v>249</v>
      </c>
      <c r="C10" s="18" t="s">
        <v>78</v>
      </c>
      <c r="D10" s="19" t="n">
        <f aca="false">INDEX('All runs'!$C:$C,MATCH($C10,'All runs'!$B:$B,0))</f>
        <v>1611</v>
      </c>
      <c r="E10" s="19" t="n">
        <f aca="false">INDEX('All runs'!$D:$D,MATCH($C10,'All runs'!$B:$B,0))</f>
        <v>2020</v>
      </c>
      <c r="F10" s="19" t="n">
        <f aca="false">INDEX('All runs'!$E:$E,MATCH($C10,'All runs'!$B:$B,0))</f>
        <v>2201</v>
      </c>
      <c r="G10" s="20" t="n">
        <f aca="false">INDEX('All runs'!$F:$F,MATCH($C10,'All runs'!$B:$B,0))</f>
        <v>0.980777</v>
      </c>
    </row>
    <row r="11" customFormat="false" ht="15" hidden="false" customHeight="false" outlineLevel="0" collapsed="false">
      <c r="A11" s="13" t="s">
        <v>243</v>
      </c>
      <c r="B11" s="37" t="s">
        <v>250</v>
      </c>
      <c r="C11" s="13" t="s">
        <v>79</v>
      </c>
      <c r="D11" s="14" t="n">
        <f aca="false">INDEX('All runs'!$C:$C,MATCH($C11,'All runs'!$B:$B,0))</f>
        <v>1431</v>
      </c>
      <c r="E11" s="14" t="n">
        <f aca="false">INDEX('All runs'!$D:$D,MATCH($C11,'All runs'!$B:$B,0))</f>
        <v>2046</v>
      </c>
      <c r="F11" s="14" t="n">
        <f aca="false">INDEX('All runs'!$E:$E,MATCH($C11,'All runs'!$B:$B,0))</f>
        <v>2211</v>
      </c>
      <c r="G11" s="15" t="n">
        <f aca="false">INDEX('All runs'!$F:$F,MATCH($C11,'All runs'!$B:$B,0))</f>
        <v>0.983414</v>
      </c>
    </row>
    <row r="12" customFormat="false" ht="15" hidden="false" customHeight="false" outlineLevel="0" collapsed="false">
      <c r="A12" s="18" t="s">
        <v>243</v>
      </c>
      <c r="B12" s="38" t="s">
        <v>251</v>
      </c>
      <c r="C12" s="18" t="s">
        <v>81</v>
      </c>
      <c r="D12" s="19" t="n">
        <f aca="false">INDEX('All runs'!$C:$C,MATCH($C12,'All runs'!$B:$B,0))</f>
        <v>1625</v>
      </c>
      <c r="E12" s="19" t="n">
        <f aca="false">INDEX('All runs'!$D:$D,MATCH($C12,'All runs'!$B:$B,0))</f>
        <v>2036</v>
      </c>
      <c r="F12" s="19" t="n">
        <f aca="false">INDEX('All runs'!$E:$E,MATCH($C12,'All runs'!$B:$B,0))</f>
        <v>2121</v>
      </c>
      <c r="G12" s="20" t="n">
        <f aca="false">INDEX('All runs'!$F:$F,MATCH($C12,'All runs'!$B:$B,0))</f>
        <v>0.981109</v>
      </c>
    </row>
    <row r="13" customFormat="false" ht="15" hidden="false" customHeight="false" outlineLevel="0" collapsed="false">
      <c r="A13" s="13" t="s">
        <v>214</v>
      </c>
      <c r="B13" s="37" t="s">
        <v>244</v>
      </c>
      <c r="C13" s="13" t="s">
        <v>85</v>
      </c>
      <c r="D13" s="14" t="n">
        <f aca="false">INDEX('All runs'!$C:$C,MATCH($C13,'All runs'!$B:$B,0))</f>
        <v>2501</v>
      </c>
      <c r="E13" s="14" t="n">
        <f aca="false">INDEX('All runs'!$D:$D,MATCH($C13,'All runs'!$B:$B,0))</f>
        <v>2589</v>
      </c>
      <c r="F13" s="14" t="n">
        <f aca="false">INDEX('All runs'!$E:$E,MATCH($C13,'All runs'!$B:$B,0))</f>
        <v>2636</v>
      </c>
      <c r="G13" s="15" t="n">
        <f aca="false">INDEX('All runs'!$F:$F,MATCH($C13,'All runs'!$B:$B,0))</f>
        <v>0.996527</v>
      </c>
    </row>
    <row r="14" customFormat="false" ht="15" hidden="false" customHeight="false" outlineLevel="0" collapsed="false">
      <c r="A14" s="18" t="s">
        <v>214</v>
      </c>
      <c r="B14" s="38" t="s">
        <v>245</v>
      </c>
      <c r="C14" s="18" t="s">
        <v>84</v>
      </c>
      <c r="D14" s="19" t="n">
        <f aca="false">INDEX('All runs'!$C:$C,MATCH($C14,'All runs'!$B:$B,0))</f>
        <v>2511</v>
      </c>
      <c r="E14" s="19" t="n">
        <f aca="false">INDEX('All runs'!$D:$D,MATCH($C14,'All runs'!$B:$B,0))</f>
        <v>2601</v>
      </c>
      <c r="F14" s="19" t="n">
        <f aca="false">INDEX('All runs'!$E:$E,MATCH($C14,'All runs'!$B:$B,0))</f>
        <v>2646</v>
      </c>
      <c r="G14" s="20" t="n">
        <f aca="false">INDEX('All runs'!$F:$F,MATCH($C14,'All runs'!$B:$B,0))</f>
        <v>0.996431</v>
      </c>
    </row>
    <row r="15" customFormat="false" ht="15" hidden="false" customHeight="false" outlineLevel="0" collapsed="false">
      <c r="A15" s="13" t="s">
        <v>214</v>
      </c>
      <c r="B15" s="37" t="s">
        <v>246</v>
      </c>
      <c r="C15" s="13" t="s">
        <v>90</v>
      </c>
      <c r="D15" s="14" t="n">
        <f aca="false">INDEX('All runs'!$C:$C,MATCH($C15,'All runs'!$B:$B,0))</f>
        <v>2531</v>
      </c>
      <c r="E15" s="14" t="n">
        <f aca="false">INDEX('All runs'!$D:$D,MATCH($C15,'All runs'!$B:$B,0))</f>
        <v>2634</v>
      </c>
      <c r="F15" s="14" t="n">
        <f aca="false">INDEX('All runs'!$E:$E,MATCH($C15,'All runs'!$B:$B,0))</f>
        <v>2671</v>
      </c>
      <c r="G15" s="15" t="n">
        <f aca="false">INDEX('All runs'!$F:$F,MATCH($C15,'All runs'!$B:$B,0))</f>
        <v>0.996847</v>
      </c>
    </row>
    <row r="16" customFormat="false" ht="15" hidden="false" customHeight="false" outlineLevel="0" collapsed="false">
      <c r="A16" s="18" t="s">
        <v>214</v>
      </c>
      <c r="B16" s="38" t="s">
        <v>247</v>
      </c>
      <c r="C16" s="18" t="s">
        <v>88</v>
      </c>
      <c r="D16" s="19" t="n">
        <f aca="false">INDEX('All runs'!$C:$C,MATCH($C16,'All runs'!$B:$B,0))</f>
        <v>2496</v>
      </c>
      <c r="E16" s="19" t="n">
        <f aca="false">INDEX('All runs'!$D:$D,MATCH($C16,'All runs'!$B:$B,0))</f>
        <v>2578</v>
      </c>
      <c r="F16" s="19" t="n">
        <f aca="false">INDEX('All runs'!$E:$E,MATCH($C16,'All runs'!$B:$B,0))</f>
        <v>2621</v>
      </c>
      <c r="G16" s="20" t="n">
        <f aca="false">INDEX('All runs'!$F:$F,MATCH($C16,'All runs'!$B:$B,0))</f>
        <v>0.996601</v>
      </c>
    </row>
    <row r="17" customFormat="false" ht="15" hidden="false" customHeight="false" outlineLevel="0" collapsed="false">
      <c r="A17" s="13" t="s">
        <v>214</v>
      </c>
      <c r="B17" s="37" t="s">
        <v>248</v>
      </c>
      <c r="C17" s="13" t="s">
        <v>91</v>
      </c>
      <c r="D17" s="14" t="n">
        <f aca="false">INDEX('All runs'!$C:$C,MATCH($C17,'All runs'!$B:$B,0))</f>
        <v>2471</v>
      </c>
      <c r="E17" s="14" t="n">
        <f aca="false">INDEX('All runs'!$D:$D,MATCH($C17,'All runs'!$B:$B,0))</f>
        <v>2606</v>
      </c>
      <c r="F17" s="14" t="n">
        <f aca="false">INDEX('All runs'!$E:$E,MATCH($C17,'All runs'!$B:$B,0))</f>
        <v>2636</v>
      </c>
      <c r="G17" s="15" t="n">
        <f aca="false">INDEX('All runs'!$F:$F,MATCH($C17,'All runs'!$B:$B,0))</f>
        <v>0.996435</v>
      </c>
    </row>
    <row r="18" customFormat="false" ht="15" hidden="false" customHeight="false" outlineLevel="0" collapsed="false">
      <c r="A18" s="18" t="s">
        <v>214</v>
      </c>
      <c r="B18" s="38" t="s">
        <v>249</v>
      </c>
      <c r="C18" s="18" t="s">
        <v>86</v>
      </c>
      <c r="D18" s="19" t="n">
        <f aca="false">INDEX('All runs'!$C:$C,MATCH($C18,'All runs'!$B:$B,0))</f>
        <v>2491</v>
      </c>
      <c r="E18" s="19" t="n">
        <f aca="false">INDEX('All runs'!$D:$D,MATCH($C18,'All runs'!$B:$B,0))</f>
        <v>2568</v>
      </c>
      <c r="F18" s="19" t="n">
        <f aca="false">INDEX('All runs'!$E:$E,MATCH($C18,'All runs'!$B:$B,0))</f>
        <v>2606</v>
      </c>
      <c r="G18" s="20" t="n">
        <f aca="false">INDEX('All runs'!$F:$F,MATCH($C18,'All runs'!$B:$B,0))</f>
        <v>0.996691</v>
      </c>
    </row>
    <row r="19" customFormat="false" ht="15" hidden="false" customHeight="false" outlineLevel="0" collapsed="false">
      <c r="A19" s="13" t="s">
        <v>214</v>
      </c>
      <c r="B19" s="37" t="s">
        <v>250</v>
      </c>
      <c r="C19" s="13" t="s">
        <v>87</v>
      </c>
      <c r="D19" s="14" t="n">
        <f aca="false">INDEX('All runs'!$C:$C,MATCH($C19,'All runs'!$B:$B,0))</f>
        <v>2506</v>
      </c>
      <c r="E19" s="14" t="n">
        <f aca="false">INDEX('All runs'!$D:$D,MATCH($C19,'All runs'!$B:$B,0))</f>
        <v>2603</v>
      </c>
      <c r="F19" s="14" t="n">
        <f aca="false">INDEX('All runs'!$E:$E,MATCH($C19,'All runs'!$B:$B,0))</f>
        <v>2651</v>
      </c>
      <c r="G19" s="15" t="n">
        <f aca="false">INDEX('All runs'!$F:$F,MATCH($C19,'All runs'!$B:$B,0))</f>
        <v>0.996986</v>
      </c>
    </row>
    <row r="20" customFormat="false" ht="15" hidden="false" customHeight="false" outlineLevel="0" collapsed="false">
      <c r="A20" s="18" t="s">
        <v>214</v>
      </c>
      <c r="B20" s="38" t="s">
        <v>251</v>
      </c>
      <c r="C20" s="18" t="s">
        <v>89</v>
      </c>
      <c r="D20" s="19" t="n">
        <f aca="false">INDEX('All runs'!$C:$C,MATCH($C20,'All runs'!$B:$B,0))</f>
        <v>2491</v>
      </c>
      <c r="E20" s="19" t="n">
        <f aca="false">INDEX('All runs'!$D:$D,MATCH($C20,'All runs'!$B:$B,0))</f>
        <v>2581</v>
      </c>
      <c r="F20" s="19" t="n">
        <f aca="false">INDEX('All runs'!$E:$E,MATCH($C20,'All runs'!$B:$B,0))</f>
        <v>2621</v>
      </c>
      <c r="G20" s="20" t="n">
        <f aca="false">INDEX('All runs'!$F:$F,MATCH($C20,'All runs'!$B:$B,0))</f>
        <v>0.995811</v>
      </c>
    </row>
    <row r="21" customFormat="false" ht="15" hidden="false" customHeight="false" outlineLevel="0" collapsed="false">
      <c r="A21" s="13" t="s">
        <v>217</v>
      </c>
      <c r="B21" s="37" t="s">
        <v>244</v>
      </c>
      <c r="C21" s="13" t="s">
        <v>93</v>
      </c>
      <c r="D21" s="14" t="n">
        <f aca="false">INDEX('All runs'!$C:$C,MATCH($C21,'All runs'!$B:$B,0))</f>
        <v>2501</v>
      </c>
      <c r="E21" s="14" t="n">
        <f aca="false">INDEX('All runs'!$D:$D,MATCH($C21,'All runs'!$B:$B,0))</f>
        <v>2589</v>
      </c>
      <c r="F21" s="14" t="n">
        <f aca="false">INDEX('All runs'!$E:$E,MATCH($C21,'All runs'!$B:$B,0))</f>
        <v>2631</v>
      </c>
      <c r="G21" s="15" t="n">
        <f aca="false">INDEX('All runs'!$F:$F,MATCH($C21,'All runs'!$B:$B,0))</f>
        <v>0.996392</v>
      </c>
    </row>
    <row r="22" customFormat="false" ht="15" hidden="false" customHeight="false" outlineLevel="0" collapsed="false">
      <c r="A22" s="18" t="s">
        <v>217</v>
      </c>
      <c r="B22" s="38" t="s">
        <v>245</v>
      </c>
      <c r="C22" s="18" t="s">
        <v>92</v>
      </c>
      <c r="D22" s="19" t="n">
        <f aca="false">INDEX('All runs'!$C:$C,MATCH($C22,'All runs'!$B:$B,0))</f>
        <v>2511</v>
      </c>
      <c r="E22" s="19" t="n">
        <f aca="false">INDEX('All runs'!$D:$D,MATCH($C22,'All runs'!$B:$B,0))</f>
        <v>2601</v>
      </c>
      <c r="F22" s="19" t="n">
        <f aca="false">INDEX('All runs'!$E:$E,MATCH($C22,'All runs'!$B:$B,0))</f>
        <v>2646</v>
      </c>
      <c r="G22" s="20" t="n">
        <f aca="false">INDEX('All runs'!$F:$F,MATCH($C22,'All runs'!$B:$B,0))</f>
        <v>0.996428</v>
      </c>
    </row>
    <row r="23" customFormat="false" ht="15" hidden="false" customHeight="false" outlineLevel="0" collapsed="false">
      <c r="A23" s="13" t="s">
        <v>217</v>
      </c>
      <c r="B23" s="37" t="s">
        <v>246</v>
      </c>
      <c r="C23" s="13" t="s">
        <v>98</v>
      </c>
      <c r="D23" s="14" t="n">
        <f aca="false">INDEX('All runs'!$C:$C,MATCH($C23,'All runs'!$B:$B,0))</f>
        <v>2531</v>
      </c>
      <c r="E23" s="14" t="n">
        <f aca="false">INDEX('All runs'!$D:$D,MATCH($C23,'All runs'!$B:$B,0))</f>
        <v>2634</v>
      </c>
      <c r="F23" s="14" t="n">
        <f aca="false">INDEX('All runs'!$E:$E,MATCH($C23,'All runs'!$B:$B,0))</f>
        <v>2676</v>
      </c>
      <c r="G23" s="15" t="n">
        <f aca="false">INDEX('All runs'!$F:$F,MATCH($C23,'All runs'!$B:$B,0))</f>
        <v>0.996544</v>
      </c>
    </row>
    <row r="24" customFormat="false" ht="15" hidden="false" customHeight="false" outlineLevel="0" collapsed="false">
      <c r="A24" s="18" t="s">
        <v>217</v>
      </c>
      <c r="B24" s="38" t="s">
        <v>247</v>
      </c>
      <c r="C24" s="18" t="s">
        <v>96</v>
      </c>
      <c r="D24" s="19" t="n">
        <f aca="false">INDEX('All runs'!$C:$C,MATCH($C24,'All runs'!$B:$B,0))</f>
        <v>2496</v>
      </c>
      <c r="E24" s="19" t="n">
        <f aca="false">INDEX('All runs'!$D:$D,MATCH($C24,'All runs'!$B:$B,0))</f>
        <v>2578</v>
      </c>
      <c r="F24" s="19" t="n">
        <f aca="false">INDEX('All runs'!$E:$E,MATCH($C24,'All runs'!$B:$B,0))</f>
        <v>2626</v>
      </c>
      <c r="G24" s="20" t="n">
        <f aca="false">INDEX('All runs'!$F:$F,MATCH($C24,'All runs'!$B:$B,0))</f>
        <v>0.996407</v>
      </c>
    </row>
    <row r="25" customFormat="false" ht="15" hidden="false" customHeight="false" outlineLevel="0" collapsed="false">
      <c r="A25" s="13" t="s">
        <v>217</v>
      </c>
      <c r="B25" s="37" t="s">
        <v>248</v>
      </c>
      <c r="C25" s="13" t="s">
        <v>99</v>
      </c>
      <c r="D25" s="14" t="n">
        <f aca="false">INDEX('All runs'!$C:$C,MATCH($C25,'All runs'!$B:$B,0))</f>
        <v>2471</v>
      </c>
      <c r="E25" s="14" t="n">
        <f aca="false">INDEX('All runs'!$D:$D,MATCH($C25,'All runs'!$B:$B,0))</f>
        <v>2606</v>
      </c>
      <c r="F25" s="14" t="n">
        <f aca="false">INDEX('All runs'!$E:$E,MATCH($C25,'All runs'!$B:$B,0))</f>
        <v>2641</v>
      </c>
      <c r="G25" s="15" t="n">
        <f aca="false">INDEX('All runs'!$F:$F,MATCH($C25,'All runs'!$B:$B,0))</f>
        <v>0.996132</v>
      </c>
    </row>
    <row r="26" customFormat="false" ht="15" hidden="false" customHeight="false" outlineLevel="0" collapsed="false">
      <c r="A26" s="18" t="s">
        <v>217</v>
      </c>
      <c r="B26" s="38" t="s">
        <v>249</v>
      </c>
      <c r="C26" s="18" t="s">
        <v>94</v>
      </c>
      <c r="D26" s="19" t="n">
        <f aca="false">INDEX('All runs'!$C:$C,MATCH($C26,'All runs'!$B:$B,0))</f>
        <v>2491</v>
      </c>
      <c r="E26" s="19" t="n">
        <f aca="false">INDEX('All runs'!$D:$D,MATCH($C26,'All runs'!$B:$B,0))</f>
        <v>2568</v>
      </c>
      <c r="F26" s="19" t="n">
        <f aca="false">INDEX('All runs'!$E:$E,MATCH($C26,'All runs'!$B:$B,0))</f>
        <v>2601</v>
      </c>
      <c r="G26" s="20" t="n">
        <f aca="false">INDEX('All runs'!$F:$F,MATCH($C26,'All runs'!$B:$B,0))</f>
        <v>0.996703</v>
      </c>
    </row>
    <row r="27" customFormat="false" ht="15" hidden="false" customHeight="false" outlineLevel="0" collapsed="false">
      <c r="A27" s="13" t="s">
        <v>217</v>
      </c>
      <c r="B27" s="37" t="s">
        <v>250</v>
      </c>
      <c r="C27" s="13" t="s">
        <v>95</v>
      </c>
      <c r="D27" s="14" t="n">
        <f aca="false">INDEX('All runs'!$C:$C,MATCH($C27,'All runs'!$B:$B,0))</f>
        <v>2506</v>
      </c>
      <c r="E27" s="14" t="n">
        <f aca="false">INDEX('All runs'!$D:$D,MATCH($C27,'All runs'!$B:$B,0))</f>
        <v>2603</v>
      </c>
      <c r="F27" s="14" t="n">
        <f aca="false">INDEX('All runs'!$E:$E,MATCH($C27,'All runs'!$B:$B,0))</f>
        <v>2646</v>
      </c>
      <c r="G27" s="15" t="n">
        <f aca="false">INDEX('All runs'!$F:$F,MATCH($C27,'All runs'!$B:$B,0))</f>
        <v>0.997105</v>
      </c>
    </row>
    <row r="28" customFormat="false" ht="15" hidden="false" customHeight="false" outlineLevel="0" collapsed="false">
      <c r="A28" s="18" t="s">
        <v>217</v>
      </c>
      <c r="B28" s="38" t="s">
        <v>251</v>
      </c>
      <c r="C28" s="18" t="s">
        <v>97</v>
      </c>
      <c r="D28" s="19" t="n">
        <f aca="false">INDEX('All runs'!$C:$C,MATCH($C28,'All runs'!$B:$B,0))</f>
        <v>2491</v>
      </c>
      <c r="E28" s="19" t="n">
        <f aca="false">INDEX('All runs'!$D:$D,MATCH($C28,'All runs'!$B:$B,0))</f>
        <v>2581</v>
      </c>
      <c r="F28" s="19" t="n">
        <f aca="false">INDEX('All runs'!$E:$E,MATCH($C28,'All runs'!$B:$B,0))</f>
        <v>2641</v>
      </c>
      <c r="G28" s="20" t="n">
        <f aca="false">INDEX('All runs'!$F:$F,MATCH($C28,'All runs'!$B:$B,0))</f>
        <v>0.995049</v>
      </c>
    </row>
    <row r="29" customFormat="false" ht="15" hidden="false" customHeight="false" outlineLevel="0" collapsed="false">
      <c r="A29" s="13" t="s">
        <v>216</v>
      </c>
      <c r="B29" s="37" t="s">
        <v>244</v>
      </c>
      <c r="C29" s="13" t="s">
        <v>101</v>
      </c>
      <c r="D29" s="14" t="n">
        <f aca="false">INDEX('All runs'!$C:$C,MATCH($C29,'All runs'!$B:$B,0))</f>
        <v>1441</v>
      </c>
      <c r="E29" s="14" t="n">
        <f aca="false">INDEX('All runs'!$D:$D,MATCH($C29,'All runs'!$B:$B,0))</f>
        <v>1596</v>
      </c>
      <c r="F29" s="14" t="n">
        <f aca="false">INDEX('All runs'!$E:$E,MATCH($C29,'All runs'!$B:$B,0))</f>
        <v>1646</v>
      </c>
      <c r="G29" s="15" t="n">
        <f aca="false">INDEX('All runs'!$F:$F,MATCH($C29,'All runs'!$B:$B,0))</f>
        <v>0.994649</v>
      </c>
    </row>
    <row r="30" customFormat="false" ht="15" hidden="false" customHeight="false" outlineLevel="0" collapsed="false">
      <c r="A30" s="18" t="s">
        <v>216</v>
      </c>
      <c r="B30" s="38" t="s">
        <v>245</v>
      </c>
      <c r="C30" s="18" t="s">
        <v>100</v>
      </c>
      <c r="D30" s="19" t="n">
        <f aca="false">INDEX('All runs'!$C:$C,MATCH($C30,'All runs'!$B:$B,0))</f>
        <v>1466</v>
      </c>
      <c r="E30" s="19" t="n">
        <f aca="false">INDEX('All runs'!$D:$D,MATCH($C30,'All runs'!$B:$B,0))</f>
        <v>1651</v>
      </c>
      <c r="F30" s="19" t="n">
        <f aca="false">INDEX('All runs'!$E:$E,MATCH($C30,'All runs'!$B:$B,0))</f>
        <v>1696</v>
      </c>
      <c r="G30" s="20" t="n">
        <f aca="false">INDEX('All runs'!$F:$F,MATCH($C30,'All runs'!$B:$B,0))</f>
        <v>0.993332</v>
      </c>
    </row>
    <row r="31" customFormat="false" ht="15" hidden="false" customHeight="false" outlineLevel="0" collapsed="false">
      <c r="A31" s="13" t="s">
        <v>216</v>
      </c>
      <c r="B31" s="37" t="s">
        <v>246</v>
      </c>
      <c r="C31" s="13" t="s">
        <v>106</v>
      </c>
      <c r="D31" s="14" t="n">
        <f aca="false">INDEX('All runs'!$C:$C,MATCH($C31,'All runs'!$B:$B,0))</f>
        <v>1481</v>
      </c>
      <c r="E31" s="14" t="n">
        <f aca="false">INDEX('All runs'!$D:$D,MATCH($C31,'All runs'!$B:$B,0))</f>
        <v>1646</v>
      </c>
      <c r="F31" s="14" t="n">
        <f aca="false">INDEX('All runs'!$E:$E,MATCH($C31,'All runs'!$B:$B,0))</f>
        <v>1701</v>
      </c>
      <c r="G31" s="15" t="n">
        <f aca="false">INDEX('All runs'!$F:$F,MATCH($C31,'All runs'!$B:$B,0))</f>
        <v>0.992082</v>
      </c>
    </row>
    <row r="32" customFormat="false" ht="15" hidden="false" customHeight="false" outlineLevel="0" collapsed="false">
      <c r="A32" s="18" t="s">
        <v>216</v>
      </c>
      <c r="B32" s="38" t="s">
        <v>247</v>
      </c>
      <c r="C32" s="18" t="s">
        <v>104</v>
      </c>
      <c r="D32" s="19" t="n">
        <f aca="false">INDEX('All runs'!$C:$C,MATCH($C32,'All runs'!$B:$B,0))</f>
        <v>1451</v>
      </c>
      <c r="E32" s="19" t="n">
        <f aca="false">INDEX('All runs'!$D:$D,MATCH($C32,'All runs'!$B:$B,0))</f>
        <v>1636</v>
      </c>
      <c r="F32" s="19" t="n">
        <f aca="false">INDEX('All runs'!$E:$E,MATCH($C32,'All runs'!$B:$B,0))</f>
        <v>1696</v>
      </c>
      <c r="G32" s="20" t="n">
        <f aca="false">INDEX('All runs'!$F:$F,MATCH($C32,'All runs'!$B:$B,0))</f>
        <v>0.992346</v>
      </c>
    </row>
    <row r="33" customFormat="false" ht="15" hidden="false" customHeight="false" outlineLevel="0" collapsed="false">
      <c r="A33" s="13" t="s">
        <v>216</v>
      </c>
      <c r="B33" s="37" t="s">
        <v>248</v>
      </c>
      <c r="C33" s="13" t="s">
        <v>107</v>
      </c>
      <c r="D33" s="14" t="n">
        <f aca="false">INDEX('All runs'!$C:$C,MATCH($C33,'All runs'!$B:$B,0))</f>
        <v>1446</v>
      </c>
      <c r="E33" s="14" t="n">
        <f aca="false">INDEX('All runs'!$D:$D,MATCH($C33,'All runs'!$B:$B,0))</f>
        <v>1646</v>
      </c>
      <c r="F33" s="14" t="n">
        <f aca="false">INDEX('All runs'!$E:$E,MATCH($C33,'All runs'!$B:$B,0))</f>
        <v>1701</v>
      </c>
      <c r="G33" s="15" t="n">
        <f aca="false">INDEX('All runs'!$F:$F,MATCH($C33,'All runs'!$B:$B,0))</f>
        <v>0.99434</v>
      </c>
    </row>
    <row r="34" customFormat="false" ht="15" hidden="false" customHeight="false" outlineLevel="0" collapsed="false">
      <c r="A34" s="18" t="s">
        <v>216</v>
      </c>
      <c r="B34" s="38" t="s">
        <v>249</v>
      </c>
      <c r="C34" s="18" t="s">
        <v>102</v>
      </c>
      <c r="D34" s="19" t="n">
        <f aca="false">INDEX('All runs'!$C:$C,MATCH($C34,'All runs'!$B:$B,0))</f>
        <v>1421</v>
      </c>
      <c r="E34" s="19" t="n">
        <f aca="false">INDEX('All runs'!$D:$D,MATCH($C34,'All runs'!$B:$B,0))</f>
        <v>1606</v>
      </c>
      <c r="F34" s="19" t="n">
        <f aca="false">INDEX('All runs'!$E:$E,MATCH($C34,'All runs'!$B:$B,0))</f>
        <v>1651</v>
      </c>
      <c r="G34" s="20" t="n">
        <f aca="false">INDEX('All runs'!$F:$F,MATCH($C34,'All runs'!$B:$B,0))</f>
        <v>0.994033</v>
      </c>
    </row>
    <row r="35" customFormat="false" ht="15" hidden="false" customHeight="false" outlineLevel="0" collapsed="false">
      <c r="A35" s="13" t="s">
        <v>216</v>
      </c>
      <c r="B35" s="37" t="s">
        <v>250</v>
      </c>
      <c r="C35" s="13" t="s">
        <v>103</v>
      </c>
      <c r="D35" s="14" t="n">
        <f aca="false">INDEX('All runs'!$C:$C,MATCH($C35,'All runs'!$B:$B,0))</f>
        <v>1446</v>
      </c>
      <c r="E35" s="14" t="n">
        <f aca="false">INDEX('All runs'!$D:$D,MATCH($C35,'All runs'!$B:$B,0))</f>
        <v>1641</v>
      </c>
      <c r="F35" s="14" t="n">
        <f aca="false">INDEX('All runs'!$E:$E,MATCH($C35,'All runs'!$B:$B,0))</f>
        <v>1691</v>
      </c>
      <c r="G35" s="15" t="n">
        <f aca="false">INDEX('All runs'!$F:$F,MATCH($C35,'All runs'!$B:$B,0))</f>
        <v>0.994139</v>
      </c>
    </row>
    <row r="36" customFormat="false" ht="15" hidden="false" customHeight="false" outlineLevel="0" collapsed="false">
      <c r="A36" s="18" t="s">
        <v>216</v>
      </c>
      <c r="B36" s="38" t="s">
        <v>251</v>
      </c>
      <c r="C36" s="18" t="s">
        <v>105</v>
      </c>
      <c r="D36" s="19" t="n">
        <f aca="false">INDEX('All runs'!$C:$C,MATCH($C36,'All runs'!$B:$B,0))</f>
        <v>1391</v>
      </c>
      <c r="E36" s="19" t="n">
        <f aca="false">INDEX('All runs'!$D:$D,MATCH($C36,'All runs'!$B:$B,0))</f>
        <v>1596</v>
      </c>
      <c r="F36" s="19" t="n">
        <f aca="false">INDEX('All runs'!$E:$E,MATCH($C36,'All runs'!$B:$B,0))</f>
        <v>1651</v>
      </c>
      <c r="G36" s="20" t="n">
        <f aca="false">INDEX('All runs'!$F:$F,MATCH($C36,'All runs'!$B:$B,0))</f>
        <v>0.993827</v>
      </c>
    </row>
    <row r="37" customFormat="false" ht="15" hidden="false" customHeight="false" outlineLevel="0" collapsed="false">
      <c r="A37" s="13" t="s">
        <v>219</v>
      </c>
      <c r="B37" s="37" t="s">
        <v>244</v>
      </c>
      <c r="C37" s="13" t="s">
        <v>109</v>
      </c>
      <c r="D37" s="14" t="n">
        <f aca="false">INDEX('All runs'!$C:$C,MATCH($C37,'All runs'!$B:$B,0))</f>
        <v>1671</v>
      </c>
      <c r="E37" s="14" t="n">
        <f aca="false">INDEX('All runs'!$D:$D,MATCH($C37,'All runs'!$B:$B,0))</f>
        <v>1851</v>
      </c>
      <c r="F37" s="14" t="n">
        <f aca="false">INDEX('All runs'!$E:$E,MATCH($C37,'All runs'!$B:$B,0))</f>
        <v>1906</v>
      </c>
      <c r="G37" s="15" t="n">
        <f aca="false">INDEX('All runs'!$F:$F,MATCH($C37,'All runs'!$B:$B,0))</f>
        <v>0.993581</v>
      </c>
    </row>
    <row r="38" customFormat="false" ht="15" hidden="false" customHeight="false" outlineLevel="0" collapsed="false">
      <c r="A38" s="18" t="s">
        <v>219</v>
      </c>
      <c r="B38" s="38" t="s">
        <v>245</v>
      </c>
      <c r="C38" s="18" t="s">
        <v>108</v>
      </c>
      <c r="D38" s="19" t="n">
        <f aca="false">INDEX('All runs'!$C:$C,MATCH($C38,'All runs'!$B:$B,0))</f>
        <v>1661</v>
      </c>
      <c r="E38" s="19" t="n">
        <f aca="false">INDEX('All runs'!$D:$D,MATCH($C38,'All runs'!$B:$B,0))</f>
        <v>1891</v>
      </c>
      <c r="F38" s="19" t="n">
        <f aca="false">INDEX('All runs'!$E:$E,MATCH($C38,'All runs'!$B:$B,0))</f>
        <v>1951</v>
      </c>
      <c r="G38" s="20" t="n">
        <f aca="false">INDEX('All runs'!$F:$F,MATCH($C38,'All runs'!$B:$B,0))</f>
        <v>0.994434</v>
      </c>
    </row>
    <row r="39" customFormat="false" ht="15" hidden="false" customHeight="false" outlineLevel="0" collapsed="false">
      <c r="A39" s="13" t="s">
        <v>219</v>
      </c>
      <c r="B39" s="37" t="s">
        <v>246</v>
      </c>
      <c r="C39" s="13" t="s">
        <v>114</v>
      </c>
      <c r="D39" s="14" t="n">
        <f aca="false">INDEX('All runs'!$C:$C,MATCH($C39,'All runs'!$B:$B,0))</f>
        <v>1681</v>
      </c>
      <c r="E39" s="14" t="n">
        <f aca="false">INDEX('All runs'!$D:$D,MATCH($C39,'All runs'!$B:$B,0))</f>
        <v>1881</v>
      </c>
      <c r="F39" s="14" t="n">
        <f aca="false">INDEX('All runs'!$E:$E,MATCH($C39,'All runs'!$B:$B,0))</f>
        <v>1956</v>
      </c>
      <c r="G39" s="15" t="n">
        <f aca="false">INDEX('All runs'!$F:$F,MATCH($C39,'All runs'!$B:$B,0))</f>
        <v>0.993912</v>
      </c>
    </row>
    <row r="40" customFormat="false" ht="15" hidden="false" customHeight="false" outlineLevel="0" collapsed="false">
      <c r="A40" s="18" t="s">
        <v>219</v>
      </c>
      <c r="B40" s="38" t="s">
        <v>247</v>
      </c>
      <c r="C40" s="18" t="s">
        <v>112</v>
      </c>
      <c r="D40" s="19" t="n">
        <f aca="false">INDEX('All runs'!$C:$C,MATCH($C40,'All runs'!$B:$B,0))</f>
        <v>1716</v>
      </c>
      <c r="E40" s="19" t="n">
        <f aca="false">INDEX('All runs'!$D:$D,MATCH($C40,'All runs'!$B:$B,0))</f>
        <v>1891</v>
      </c>
      <c r="F40" s="19" t="n">
        <f aca="false">INDEX('All runs'!$E:$E,MATCH($C40,'All runs'!$B:$B,0))</f>
        <v>1951</v>
      </c>
      <c r="G40" s="20" t="n">
        <f aca="false">INDEX('All runs'!$F:$F,MATCH($C40,'All runs'!$B:$B,0))</f>
        <v>0.993293</v>
      </c>
    </row>
    <row r="41" customFormat="false" ht="15" hidden="false" customHeight="false" outlineLevel="0" collapsed="false">
      <c r="A41" s="13" t="s">
        <v>219</v>
      </c>
      <c r="B41" s="37" t="s">
        <v>248</v>
      </c>
      <c r="C41" s="13" t="s">
        <v>115</v>
      </c>
      <c r="D41" s="14" t="n">
        <f aca="false">INDEX('All runs'!$C:$C,MATCH($C41,'All runs'!$B:$B,0))</f>
        <v>1721</v>
      </c>
      <c r="E41" s="14" t="n">
        <f aca="false">INDEX('All runs'!$D:$D,MATCH($C41,'All runs'!$B:$B,0))</f>
        <v>1876</v>
      </c>
      <c r="F41" s="14" t="n">
        <f aca="false">INDEX('All runs'!$E:$E,MATCH($C41,'All runs'!$B:$B,0))</f>
        <v>1926</v>
      </c>
      <c r="G41" s="15" t="n">
        <f aca="false">INDEX('All runs'!$F:$F,MATCH($C41,'All runs'!$B:$B,0))</f>
        <v>0.995348</v>
      </c>
    </row>
    <row r="42" customFormat="false" ht="15" hidden="false" customHeight="false" outlineLevel="0" collapsed="false">
      <c r="A42" s="18" t="s">
        <v>219</v>
      </c>
      <c r="B42" s="38" t="s">
        <v>249</v>
      </c>
      <c r="C42" s="18" t="s">
        <v>110</v>
      </c>
      <c r="D42" s="19" t="n">
        <f aca="false">INDEX('All runs'!$C:$C,MATCH($C42,'All runs'!$B:$B,0))</f>
        <v>1646</v>
      </c>
      <c r="E42" s="19" t="n">
        <f aca="false">INDEX('All runs'!$D:$D,MATCH($C42,'All runs'!$B:$B,0))</f>
        <v>1851</v>
      </c>
      <c r="F42" s="19" t="n">
        <f aca="false">INDEX('All runs'!$E:$E,MATCH($C42,'All runs'!$B:$B,0))</f>
        <v>1921</v>
      </c>
      <c r="G42" s="20" t="n">
        <f aca="false">INDEX('All runs'!$F:$F,MATCH($C42,'All runs'!$B:$B,0))</f>
        <v>0.994472</v>
      </c>
    </row>
    <row r="43" customFormat="false" ht="15" hidden="false" customHeight="false" outlineLevel="0" collapsed="false">
      <c r="A43" s="13" t="s">
        <v>219</v>
      </c>
      <c r="B43" s="37" t="s">
        <v>250</v>
      </c>
      <c r="C43" s="13" t="s">
        <v>111</v>
      </c>
      <c r="D43" s="14" t="n">
        <f aca="false">INDEX('All runs'!$C:$C,MATCH($C43,'All runs'!$B:$B,0))</f>
        <v>1716</v>
      </c>
      <c r="E43" s="14" t="n">
        <f aca="false">INDEX('All runs'!$D:$D,MATCH($C43,'All runs'!$B:$B,0))</f>
        <v>1881</v>
      </c>
      <c r="F43" s="14" t="n">
        <f aca="false">INDEX('All runs'!$E:$E,MATCH($C43,'All runs'!$B:$B,0))</f>
        <v>1941</v>
      </c>
      <c r="G43" s="15" t="n">
        <f aca="false">INDEX('All runs'!$F:$F,MATCH($C43,'All runs'!$B:$B,0))</f>
        <v>0.993319</v>
      </c>
    </row>
    <row r="44" customFormat="false" ht="15" hidden="false" customHeight="false" outlineLevel="0" collapsed="false">
      <c r="A44" s="18" t="s">
        <v>219</v>
      </c>
      <c r="B44" s="38" t="s">
        <v>251</v>
      </c>
      <c r="C44" s="18" t="s">
        <v>113</v>
      </c>
      <c r="D44" s="19" t="n">
        <f aca="false">INDEX('All runs'!$C:$C,MATCH($C44,'All runs'!$B:$B,0))</f>
        <v>1641</v>
      </c>
      <c r="E44" s="19" t="n">
        <f aca="false">INDEX('All runs'!$D:$D,MATCH($C44,'All runs'!$B:$B,0))</f>
        <v>1856</v>
      </c>
      <c r="F44" s="19" t="n">
        <f aca="false">INDEX('All runs'!$E:$E,MATCH($C44,'All runs'!$B:$B,0))</f>
        <v>1916</v>
      </c>
      <c r="G44" s="20" t="n">
        <f aca="false">INDEX('All runs'!$F:$F,MATCH($C44,'All runs'!$B:$B,0))</f>
        <v>0.994133</v>
      </c>
    </row>
    <row r="46" customFormat="false" ht="15" hidden="false" customHeight="false" outlineLevel="0" collapsed="false">
      <c r="A46" s="6" t="s">
        <v>118</v>
      </c>
      <c r="B46" s="6"/>
      <c r="C46" s="6"/>
      <c r="D46" s="6" t="s">
        <v>252</v>
      </c>
      <c r="E46" s="6" t="s">
        <v>253</v>
      </c>
      <c r="F46" s="6" t="s">
        <v>254</v>
      </c>
      <c r="G46" s="6" t="s">
        <v>255</v>
      </c>
      <c r="H46" s="6" t="s">
        <v>256</v>
      </c>
      <c r="I46" s="6" t="s">
        <v>257</v>
      </c>
      <c r="J46" s="6" t="s">
        <v>258</v>
      </c>
    </row>
    <row r="47" customFormat="false" ht="15" hidden="false" customHeight="false" outlineLevel="0" collapsed="false">
      <c r="A47" s="13" t="s">
        <v>243</v>
      </c>
      <c r="D47" s="39" t="n">
        <f aca="false">AVERAGE(D5:D12)</f>
        <v>1618</v>
      </c>
      <c r="E47" s="39" t="n">
        <f aca="false">AVERAGE(E5:E12)</f>
        <v>2040.625</v>
      </c>
      <c r="F47" s="39" t="n">
        <f aca="false">AVERAGE(F5:F12)</f>
        <v>2239.25</v>
      </c>
      <c r="G47" s="40" t="n">
        <f aca="false">AVERAGE(G5:G12)</f>
        <v>0.98108475</v>
      </c>
      <c r="H47" s="39" t="n">
        <f aca="false">MIN(D5:D12)</f>
        <v>1431</v>
      </c>
      <c r="I47" s="39" t="n">
        <f aca="false">MAX(D5:D12)</f>
        <v>1725</v>
      </c>
      <c r="J47" s="41" t="n">
        <f aca="false">(I47-H47)/2/D47</f>
        <v>0.0908529048207664</v>
      </c>
    </row>
    <row r="48" customFormat="false" ht="15" hidden="false" customHeight="false" outlineLevel="0" collapsed="false">
      <c r="A48" s="18" t="s">
        <v>214</v>
      </c>
      <c r="D48" s="42" t="n">
        <f aca="false">AVERAGE(D13:D20)</f>
        <v>2499.75</v>
      </c>
      <c r="E48" s="42" t="n">
        <f aca="false">AVERAGE(E13:E20)</f>
        <v>2595</v>
      </c>
      <c r="F48" s="42" t="n">
        <f aca="false">AVERAGE(F13:F20)</f>
        <v>2636</v>
      </c>
      <c r="G48" s="43" t="n">
        <f aca="false">AVERAGE(G13:G20)</f>
        <v>0.996541125</v>
      </c>
      <c r="H48" s="42" t="n">
        <f aca="false">MIN(D13:D20)</f>
        <v>2471</v>
      </c>
      <c r="I48" s="42" t="n">
        <f aca="false">MAX(D13:D20)</f>
        <v>2531</v>
      </c>
      <c r="J48" s="44" t="n">
        <f aca="false">(I48-H48)/2/D48</f>
        <v>0.012001200120012</v>
      </c>
    </row>
    <row r="49" customFormat="false" ht="15" hidden="false" customHeight="false" outlineLevel="0" collapsed="false">
      <c r="A49" s="23" t="s">
        <v>217</v>
      </c>
      <c r="D49" s="45" t="n">
        <f aca="false">AVERAGE(D21:D28)</f>
        <v>2499.75</v>
      </c>
      <c r="E49" s="45" t="n">
        <f aca="false">AVERAGE(E21:E28)</f>
        <v>2595</v>
      </c>
      <c r="F49" s="45" t="n">
        <f aca="false">AVERAGE(F21:F28)</f>
        <v>2638.5</v>
      </c>
      <c r="G49" s="46" t="n">
        <f aca="false">AVERAGE(G21:G28)</f>
        <v>0.996345</v>
      </c>
      <c r="H49" s="45" t="n">
        <f aca="false">MIN(D21:D28)</f>
        <v>2471</v>
      </c>
      <c r="I49" s="45" t="n">
        <f aca="false">MAX(D21:D28)</f>
        <v>2531</v>
      </c>
      <c r="J49" s="47" t="n">
        <f aca="false">(I49-H49)/2/D49</f>
        <v>0.012001200120012</v>
      </c>
    </row>
    <row r="50" customFormat="false" ht="15" hidden="false" customHeight="false" outlineLevel="0" collapsed="false">
      <c r="A50" s="18" t="s">
        <v>216</v>
      </c>
      <c r="D50" s="42" t="n">
        <f aca="false">AVERAGE(D29:D36)</f>
        <v>1442.875</v>
      </c>
      <c r="E50" s="42" t="n">
        <f aca="false">AVERAGE(E29:E36)</f>
        <v>1627.25</v>
      </c>
      <c r="F50" s="42" t="n">
        <f aca="false">AVERAGE(F29:F36)</f>
        <v>1679.125</v>
      </c>
      <c r="G50" s="43" t="n">
        <f aca="false">AVERAGE(G29:G36)</f>
        <v>0.9935935</v>
      </c>
      <c r="H50" s="42" t="n">
        <f aca="false">MIN(D29:D36)</f>
        <v>1391</v>
      </c>
      <c r="I50" s="42" t="n">
        <f aca="false">MAX(D29:D36)</f>
        <v>1481</v>
      </c>
      <c r="J50" s="44" t="n">
        <f aca="false">(I50-H50)/2/D50</f>
        <v>0.0311877328250888</v>
      </c>
    </row>
    <row r="51" customFormat="false" ht="15" hidden="false" customHeight="false" outlineLevel="0" collapsed="false">
      <c r="A51" s="13" t="s">
        <v>219</v>
      </c>
      <c r="D51" s="39" t="n">
        <f aca="false">AVERAGE(D37:D44)</f>
        <v>1681.625</v>
      </c>
      <c r="E51" s="39" t="n">
        <f aca="false">AVERAGE(E37:E44)</f>
        <v>1872.25</v>
      </c>
      <c r="F51" s="39" t="n">
        <f aca="false">AVERAGE(F37:F44)</f>
        <v>1933.5</v>
      </c>
      <c r="G51" s="40" t="n">
        <f aca="false">AVERAGE(G37:G44)</f>
        <v>0.9940615</v>
      </c>
      <c r="H51" s="39" t="n">
        <f aca="false">MIN(D37:D44)</f>
        <v>1641</v>
      </c>
      <c r="I51" s="39" t="n">
        <f aca="false">MAX(D37:D44)</f>
        <v>1721</v>
      </c>
      <c r="J51" s="41" t="n">
        <f aca="false">(I51-H51)/2/D51</f>
        <v>0.0237865160187319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52"/>
  </cols>
  <sheetData>
    <row r="1" customFormat="false" ht="17.35" hidden="false" customHeight="false" outlineLevel="0" collapsed="false">
      <c r="A1" s="1" t="s">
        <v>259</v>
      </c>
    </row>
    <row r="4" customFormat="false" ht="15" hidden="false" customHeight="false" outlineLevel="0" collapsed="false">
      <c r="A4" s="6" t="s">
        <v>260</v>
      </c>
      <c r="B4" s="6" t="s">
        <v>261</v>
      </c>
    </row>
    <row r="5" customFormat="false" ht="15" hidden="false" customHeight="false" outlineLevel="0" collapsed="false">
      <c r="A5" s="13" t="s">
        <v>262</v>
      </c>
      <c r="B5" s="13" t="s">
        <v>263</v>
      </c>
    </row>
    <row r="6" customFormat="false" ht="15" hidden="false" customHeight="false" outlineLevel="0" collapsed="false">
      <c r="A6" s="18" t="s">
        <v>264</v>
      </c>
      <c r="B6" s="18" t="s">
        <v>265</v>
      </c>
    </row>
    <row r="7" customFormat="false" ht="15" hidden="false" customHeight="false" outlineLevel="0" collapsed="false">
      <c r="A7" s="13" t="s">
        <v>266</v>
      </c>
      <c r="B7" s="13" t="s">
        <v>267</v>
      </c>
    </row>
    <row r="8" customFormat="false" ht="15" hidden="false" customHeight="false" outlineLevel="0" collapsed="false">
      <c r="A8" s="18" t="s">
        <v>268</v>
      </c>
      <c r="B8" s="18" t="s">
        <v>269</v>
      </c>
    </row>
    <row r="9" customFormat="false" ht="15" hidden="false" customHeight="false" outlineLevel="0" collapsed="false">
      <c r="A9" s="13" t="s">
        <v>270</v>
      </c>
      <c r="B9" s="13" t="s">
        <v>271</v>
      </c>
    </row>
    <row r="10" customFormat="false" ht="15" hidden="false" customHeight="false" outlineLevel="0" collapsed="false">
      <c r="A10" s="18" t="s">
        <v>272</v>
      </c>
      <c r="B10" s="18" t="s">
        <v>273</v>
      </c>
    </row>
    <row r="11" customFormat="false" ht="15" hidden="false" customHeight="false" outlineLevel="0" collapsed="false">
      <c r="A11" s="13" t="s">
        <v>274</v>
      </c>
      <c r="B11" s="13" t="s">
        <v>275</v>
      </c>
    </row>
    <row r="12" customFormat="false" ht="15" hidden="false" customHeight="false" outlineLevel="0" collapsed="false">
      <c r="A12" s="18" t="s">
        <v>276</v>
      </c>
      <c r="B12" s="18" t="s">
        <v>277</v>
      </c>
    </row>
    <row r="13" customFormat="false" ht="15" hidden="false" customHeight="false" outlineLevel="0" collapsed="false">
      <c r="A13" s="13" t="s">
        <v>278</v>
      </c>
      <c r="B13" s="13" t="s">
        <v>279</v>
      </c>
    </row>
    <row r="14" customFormat="false" ht="15" hidden="false" customHeight="false" outlineLevel="0" collapsed="false">
      <c r="A14" s="18" t="s">
        <v>280</v>
      </c>
      <c r="B14" s="18" t="s">
        <v>281</v>
      </c>
    </row>
    <row r="15" customFormat="false" ht="15" hidden="false" customHeight="false" outlineLevel="0" collapsed="false">
      <c r="A15" s="13" t="s">
        <v>282</v>
      </c>
      <c r="B15" s="13" t="s">
        <v>283</v>
      </c>
    </row>
    <row r="16" customFormat="false" ht="15" hidden="false" customHeight="false" outlineLevel="0" collapsed="false">
      <c r="A16" s="18" t="s">
        <v>284</v>
      </c>
      <c r="B16" s="18" t="s">
        <v>285</v>
      </c>
    </row>
    <row r="17" customFormat="false" ht="15" hidden="false" customHeight="false" outlineLevel="0" collapsed="false">
      <c r="A17" s="13" t="s">
        <v>286</v>
      </c>
      <c r="B17" s="13" t="s">
        <v>287</v>
      </c>
    </row>
    <row r="18" customFormat="false" ht="15" hidden="false" customHeight="false" outlineLevel="0" collapsed="false">
      <c r="A18" s="18" t="s">
        <v>288</v>
      </c>
      <c r="B18" s="18" t="s">
        <v>289</v>
      </c>
    </row>
    <row r="19" customFormat="false" ht="15" hidden="false" customHeight="false" outlineLevel="0" collapsed="false">
      <c r="A19" s="13" t="s">
        <v>290</v>
      </c>
      <c r="B19" s="13" t="s">
        <v>291</v>
      </c>
    </row>
    <row r="20" customFormat="false" ht="15" hidden="false" customHeight="false" outlineLevel="0" collapsed="false">
      <c r="A20" s="18" t="s">
        <v>242</v>
      </c>
      <c r="B20" s="18" t="s">
        <v>292</v>
      </c>
    </row>
    <row r="21" customFormat="false" ht="15" hidden="false" customHeight="false" outlineLevel="0" collapsed="false">
      <c r="A21" s="13" t="s">
        <v>293</v>
      </c>
      <c r="B21" s="13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2026-09-24T17:42:11Z</dcterms:created>
  <dc:creator>openpyxl</dc:creator>
  <dc:description/>
  <dc:language>en-US</dc:language>
  <cp:lastModifiedBy/>
  <dcterms:modified xsi:type="dcterms:W3CDTF">2026-09-24T17:42:14Z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