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runs" sheetId="2" state="visible" r:id="rId4"/>
    <sheet name="Comparison" sheetId="3" state="visible" r:id="rId5"/>
    <sheet name="Reproduction" sheetId="4" state="visible" r:id="rId6"/>
    <sheet name="Hybrids" sheetId="5" state="visible" r:id="rId7"/>
    <sheet name="Evolution" sheetId="6" state="visible" r:id="rId8"/>
    <sheet name="Ablation" sheetId="7" state="visible" r:id="rId9"/>
    <sheet name="Routing" sheetId="8" state="visible" r:id="rId10"/>
    <sheet name="Robustness" sheetId="9" state="visible" r:id="rId11"/>
    <sheet name="Environmen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<sst xmlns="http://schemas.openxmlformats.org/spreadsheetml/2006/main" count="876" uniqueCount="422">
  <si>
    <t xml:space="preserve">Results comparison — v8-Chain thesis</t>
  </si>
  <si>
    <t xml:space="preserve">Every number comes from results/summary_all.csv (sheet "All runs", blue = raw input).</t>
  </si>
  <si>
    <t xml:space="preserve">All other sheets look those numbers up with INDEX/MATCH (black = formula, green = link to another sheet).</t>
  </si>
  <si>
    <t xml:space="preserve">To update after new simulations: replace the rows of "All runs"; everything else recalculates.</t>
  </si>
  <si>
    <t xml:space="preserve">Sheets</t>
  </si>
  <si>
    <t xml:space="preserve">Comparison — best version of every family (unified environment, BS at the centre)</t>
  </si>
  <si>
    <t xml:space="preserve">Reproduction — published numbers vs. our code in each paper's own settings</t>
  </si>
  <si>
    <t xml:space="preserve">Hybrids — SH-LEACH, H-LEACH, EECH-HEED: original → unified → improved</t>
  </si>
  <si>
    <t xml:space="preserve">Evolution — proposed protocol v1 → v8-Chain</t>
  </si>
  <si>
    <t xml:space="preserve">Ablation — v8 with one improvement removed</t>
  </si>
  <si>
    <t xml:space="preserve">Routing — CH → BS routing mode, BS at the centre and far away</t>
  </si>
  <si>
    <t xml:space="preserve">Robustness — 8 random topologies</t>
  </si>
  <si>
    <t xml:space="preserve">Environment — unified simulation parameters</t>
  </si>
  <si>
    <t xml:space="preserve">FND / HND / LND = round in which the first / half / last node dies. PDR = readings delivered ÷ readings generated.</t>
  </si>
  <si>
    <t xml:space="preserve">All simulation runs (raw input)</t>
  </si>
  <si>
    <t xml:space="preserve">Source: results/summary_all.csv — generated by the ns-3.41 codes in code/. Blue = input values.</t>
  </si>
  <si>
    <t xml:space="preserve">Group</t>
  </si>
  <si>
    <t xml:space="preserve">Run (code file)</t>
  </si>
  <si>
    <t xml:space="preserve">FND</t>
  </si>
  <si>
    <t xml:space="preserve">HND</t>
  </si>
  <si>
    <t xml:space="preserve">LND</t>
  </si>
  <si>
    <t xml:space="preserve">PDR</t>
  </si>
  <si>
    <t xml:space="preserve">1_ORIGINAL</t>
  </si>
  <si>
    <t xml:space="preserve">eechheed_ORIGINAL</t>
  </si>
  <si>
    <t xml:space="preserve">heed_ORIGINAL</t>
  </si>
  <si>
    <t xml:space="preserve">hleach_ORIGINAL</t>
  </si>
  <si>
    <t xml:space="preserve">leach_ORIGINAL</t>
  </si>
  <si>
    <t xml:space="preserve">pegasis_ORIGINAL</t>
  </si>
  <si>
    <t xml:space="preserve">shleach_ORIGINAL</t>
  </si>
  <si>
    <t xml:space="preserve">2_EDITED</t>
  </si>
  <si>
    <t xml:space="preserve">eechheed_EDITED</t>
  </si>
  <si>
    <t xml:space="preserve">heed_EDITED</t>
  </si>
  <si>
    <t xml:space="preserve">heed_fairness_EDITED</t>
  </si>
  <si>
    <t xml:space="preserve">hleach_EDITED</t>
  </si>
  <si>
    <t xml:space="preserve">leach_EDITED</t>
  </si>
  <si>
    <t xml:space="preserve">pegasis_EDITED</t>
  </si>
  <si>
    <t xml:space="preserve">shleach_EDITED</t>
  </si>
  <si>
    <t xml:space="preserve">3_IMPROVED</t>
  </si>
  <si>
    <t xml:space="preserve">eechheed_IMPROVED</t>
  </si>
  <si>
    <t xml:space="preserve">hleach_IMPROVED</t>
  </si>
  <si>
    <t xml:space="preserve">shleach_IMPROVED</t>
  </si>
  <si>
    <t xml:space="preserve">4_PROPOSED</t>
  </si>
  <si>
    <t xml:space="preserve">v1_heed_election_leach_join</t>
  </si>
  <si>
    <t xml:space="preserve">v2_fairness_penalty</t>
  </si>
  <si>
    <t xml:space="preserve">v3_single_pass_reuse_int5</t>
  </si>
  <si>
    <t xml:space="preserve">v4_reuse_int15</t>
  </si>
  <si>
    <t xml:space="preserve">v5_backup_int15</t>
  </si>
  <si>
    <t xml:space="preserve">v5b_energy_aware_repair</t>
  </si>
  <si>
    <t xml:space="preserve">v5x_backup_repair_int10</t>
  </si>
  <si>
    <t xml:space="preserve">v5x_backup_repair_int5</t>
  </si>
  <si>
    <t xml:space="preserve">v6_chain_center</t>
  </si>
  <si>
    <t xml:space="preserve">v6_chain_farBS</t>
  </si>
  <si>
    <t xml:space="preserve">v7_1_multihop_int5</t>
  </si>
  <si>
    <t xml:space="preserve">v7_2_multihop_int10</t>
  </si>
  <si>
    <t xml:space="preserve">v7_chain_backup_center</t>
  </si>
  <si>
    <t xml:space="preserve">v7_chain_backup_farBS</t>
  </si>
  <si>
    <t xml:space="preserve">v8_center</t>
  </si>
  <si>
    <t xml:space="preserve">v8_chain_center</t>
  </si>
  <si>
    <t xml:space="preserve">v8_chain_farBS</t>
  </si>
  <si>
    <t xml:space="preserve">v8_farBS</t>
  </si>
  <si>
    <t xml:space="preserve">4_PROPOSED/side_experiments</t>
  </si>
  <si>
    <t xml:space="preserve">v7_backup_only_noChain_int10</t>
  </si>
  <si>
    <t xml:space="preserve">ablation</t>
  </si>
  <si>
    <t xml:space="preserve">v8_without_I1</t>
  </si>
  <si>
    <t xml:space="preserve">v8_without_I2</t>
  </si>
  <si>
    <t xml:space="preserve">v8_without_I3</t>
  </si>
  <si>
    <t xml:space="preserve">v8_without_I4</t>
  </si>
  <si>
    <t xml:space="preserve">v8_without_I5</t>
  </si>
  <si>
    <t xml:space="preserve">routing</t>
  </si>
  <si>
    <t xml:space="preserve">center_mode0</t>
  </si>
  <si>
    <t xml:space="preserve">center_mode1</t>
  </si>
  <si>
    <t xml:space="preserve">center_mode2</t>
  </si>
  <si>
    <t xml:space="preserve">farBS_mode0</t>
  </si>
  <si>
    <t xml:space="preserve">farBS_mode1</t>
  </si>
  <si>
    <t xml:space="preserve">farBS_mode2</t>
  </si>
  <si>
    <t xml:space="preserve">robustness</t>
  </si>
  <si>
    <t xml:space="preserve">v5b_center_seed1</t>
  </si>
  <si>
    <t xml:space="preserve">v5b_center_seed12345</t>
  </si>
  <si>
    <t xml:space="preserve">v5b_center_seed2024</t>
  </si>
  <si>
    <t xml:space="preserve">v5b_center_seed31337</t>
  </si>
  <si>
    <t xml:space="preserve">v5b_center_seed42</t>
  </si>
  <si>
    <t xml:space="preserve">v5b_center_seed555</t>
  </si>
  <si>
    <t xml:space="preserve">v5b_center_seed7</t>
  </si>
  <si>
    <t xml:space="preserve">v5b_center_seed99</t>
  </si>
  <si>
    <t xml:space="preserve">v8_center_seed1</t>
  </si>
  <si>
    <t xml:space="preserve">v8_center_seed12345</t>
  </si>
  <si>
    <t xml:space="preserve">v8_center_seed2024</t>
  </si>
  <si>
    <t xml:space="preserve">v8_center_seed31337</t>
  </si>
  <si>
    <t xml:space="preserve">v8_center_seed42</t>
  </si>
  <si>
    <t xml:space="preserve">v8_center_seed555</t>
  </si>
  <si>
    <t xml:space="preserve">v8_center_seed7</t>
  </si>
  <si>
    <t xml:space="preserve">v8_center_seed99</t>
  </si>
  <si>
    <t xml:space="preserve">v8_chain_center_seed1</t>
  </si>
  <si>
    <t xml:space="preserve">v8_chain_center_seed12345</t>
  </si>
  <si>
    <t xml:space="preserve">v8_chain_center_seed2024</t>
  </si>
  <si>
    <t xml:space="preserve">v8_chain_center_seed31337</t>
  </si>
  <si>
    <t xml:space="preserve">v8_chain_center_seed42</t>
  </si>
  <si>
    <t xml:space="preserve">v8_chain_center_seed555</t>
  </si>
  <si>
    <t xml:space="preserve">v8_chain_center_seed7</t>
  </si>
  <si>
    <t xml:space="preserve">v8_chain_center_seed99</t>
  </si>
  <si>
    <t xml:space="preserve">v8_chain_farBS_seed1</t>
  </si>
  <si>
    <t xml:space="preserve">v8_chain_farBS_seed12345</t>
  </si>
  <si>
    <t xml:space="preserve">v8_chain_farBS_seed2024</t>
  </si>
  <si>
    <t xml:space="preserve">v8_chain_farBS_seed31337</t>
  </si>
  <si>
    <t xml:space="preserve">v8_chain_farBS_seed42</t>
  </si>
  <si>
    <t xml:space="preserve">v8_chain_farBS_seed555</t>
  </si>
  <si>
    <t xml:space="preserve">v8_chain_farBS_seed7</t>
  </si>
  <si>
    <t xml:space="preserve">v8_chain_farBS_seed99</t>
  </si>
  <si>
    <t xml:space="preserve">v8_farBS_seed1</t>
  </si>
  <si>
    <t xml:space="preserve">v8_farBS_seed12345</t>
  </si>
  <si>
    <t xml:space="preserve">v8_farBS_seed2024</t>
  </si>
  <si>
    <t xml:space="preserve">v8_farBS_seed31337</t>
  </si>
  <si>
    <t xml:space="preserve">v8_farBS_seed42</t>
  </si>
  <si>
    <t xml:space="preserve">v8_farBS_seed555</t>
  </si>
  <si>
    <t xml:space="preserve">v8_farBS_seed7</t>
  </si>
  <si>
    <t xml:space="preserve">v8_farBS_seed99</t>
  </si>
  <si>
    <t xml:space="preserve">security</t>
  </si>
  <si>
    <t xml:space="preserve">v8_chain_mic104_aes5nJ_center</t>
  </si>
  <si>
    <t xml:space="preserve">v8_chain_mic104_aes5nJ_ecc20mJ_center</t>
  </si>
  <si>
    <t xml:space="preserve">v8_chain_mic104_aes5nJ_ecc20mJ_far</t>
  </si>
  <si>
    <t xml:space="preserve">v8_chain_mic104_aes5nJ_far</t>
  </si>
  <si>
    <t xml:space="preserve">v8_chain_mic104_center</t>
  </si>
  <si>
    <t xml:space="preserve">v8_chain_mic104_ecc20mJ_center</t>
  </si>
  <si>
    <t xml:space="preserve">v8_chain_mic104_ecc20mJ_far</t>
  </si>
  <si>
    <t xml:space="preserve">v8_chain_mic104_far</t>
  </si>
  <si>
    <t xml:space="preserve">v8_chain_none_center</t>
  </si>
  <si>
    <t xml:space="preserve">v8_chain_none_far</t>
  </si>
  <si>
    <t xml:space="preserve">far_bs</t>
  </si>
  <si>
    <t xml:space="preserve">eechheed_EDITED_farBS</t>
  </si>
  <si>
    <t xml:space="preserve">eechheed_IMPROVED_farBS</t>
  </si>
  <si>
    <t xml:space="preserve">heed_EDITED_farBS</t>
  </si>
  <si>
    <t xml:space="preserve">heed_fairness_EDITED_farBS</t>
  </si>
  <si>
    <t xml:space="preserve">hleach_EDITED_farBS</t>
  </si>
  <si>
    <t xml:space="preserve">hleach_IMPROVED_farBS</t>
  </si>
  <si>
    <t xml:space="preserve">leach_EDITED_farBS</t>
  </si>
  <si>
    <t xml:space="preserve">pegasis_EDITED_farBS</t>
  </si>
  <si>
    <t xml:space="preserve">shleach_EDITED_farBS</t>
  </si>
  <si>
    <t xml:space="preserve">shleach_IMPROVED_farBS</t>
  </si>
  <si>
    <t xml:space="preserve">v3_single_pass_reuse_int5_farBS</t>
  </si>
  <si>
    <t xml:space="preserve">v5b_energy_aware_repair_farBS</t>
  </si>
  <si>
    <t xml:space="preserve">security_proposal</t>
  </si>
  <si>
    <t xml:space="preserve">sec_leach_center_s0_none</t>
  </si>
  <si>
    <t xml:space="preserve">sec_leach_center_s10_ecc160_aes</t>
  </si>
  <si>
    <t xml:space="preserve">sec_leach_center_s11_p256_aes</t>
  </si>
  <si>
    <t xml:space="preserve">sec_leach_center_s12_ecc160_ecdsa</t>
  </si>
  <si>
    <t xml:space="preserve">sec_leach_center_s13_ecc160_swaes</t>
  </si>
  <si>
    <t xml:space="preserve">sec_leach_center_s14_x25519_aes</t>
  </si>
  <si>
    <t xml:space="preserve">sec_leach_center_s15_rsa3072_aes</t>
  </si>
  <si>
    <t xml:space="preserve">sec_leach_center_s16_rsa1024_aes</t>
  </si>
  <si>
    <t xml:space="preserve">sec_leach_center_s1_aes_only</t>
  </si>
  <si>
    <t xml:space="preserve">sec_leach_center_s2_hybrid_rsa</t>
  </si>
  <si>
    <t xml:space="preserve">sec_leach_center_s3_hybrid_ecc</t>
  </si>
  <si>
    <t xml:space="preserve">sec_leach_center_s4_full_ecc</t>
  </si>
  <si>
    <t xml:space="preserve">sec_leach_center_s5_full_rsa</t>
  </si>
  <si>
    <t xml:space="preserve">sec_leach_center_s6_once_rsa</t>
  </si>
  <si>
    <t xml:space="preserve">sec_leach_center_s7_once_ecc</t>
  </si>
  <si>
    <t xml:space="preserve">sec_leach_center_s8_bs_ecc</t>
  </si>
  <si>
    <t xml:space="preserve">sec_leach_center_s9_bs_rsa</t>
  </si>
  <si>
    <t xml:space="preserve">sec_leach_far_s0_none</t>
  </si>
  <si>
    <t xml:space="preserve">sec_leach_far_s10_ecc160_aes</t>
  </si>
  <si>
    <t xml:space="preserve">sec_leach_far_s11_p256_aes</t>
  </si>
  <si>
    <t xml:space="preserve">sec_leach_far_s12_ecc160_ecdsa</t>
  </si>
  <si>
    <t xml:space="preserve">sec_leach_far_s13_ecc160_swaes</t>
  </si>
  <si>
    <t xml:space="preserve">sec_leach_far_s14_x25519_aes</t>
  </si>
  <si>
    <t xml:space="preserve">sec_leach_far_s15_rsa3072_aes</t>
  </si>
  <si>
    <t xml:space="preserve">sec_leach_far_s16_rsa1024_aes</t>
  </si>
  <si>
    <t xml:space="preserve">sec_leach_far_s1_aes_only</t>
  </si>
  <si>
    <t xml:space="preserve">sec_leach_far_s2_hybrid_rsa</t>
  </si>
  <si>
    <t xml:space="preserve">sec_leach_far_s3_hybrid_ecc</t>
  </si>
  <si>
    <t xml:space="preserve">sec_leach_far_s4_full_ecc</t>
  </si>
  <si>
    <t xml:space="preserve">sec_leach_far_s5_full_rsa</t>
  </si>
  <si>
    <t xml:space="preserve">sec_leach_far_s6_once_rsa</t>
  </si>
  <si>
    <t xml:space="preserve">sec_leach_far_s7_once_ecc</t>
  </si>
  <si>
    <t xml:space="preserve">sec_leach_far_s8_bs_ecc</t>
  </si>
  <si>
    <t xml:space="preserve">sec_leach_far_s9_bs_rsa</t>
  </si>
  <si>
    <t xml:space="preserve">sec_pegasis_center_s0_none</t>
  </si>
  <si>
    <t xml:space="preserve">sec_pegasis_center_s10_ecc160_aes</t>
  </si>
  <si>
    <t xml:space="preserve">sec_pegasis_center_s11_p256_aes</t>
  </si>
  <si>
    <t xml:space="preserve">sec_pegasis_center_s12_ecc160_ecdsa</t>
  </si>
  <si>
    <t xml:space="preserve">sec_pegasis_center_s13_ecc160_swaes</t>
  </si>
  <si>
    <t xml:space="preserve">sec_pegasis_center_s14_x25519_aes</t>
  </si>
  <si>
    <t xml:space="preserve">sec_pegasis_center_s15_rsa3072_aes</t>
  </si>
  <si>
    <t xml:space="preserve">sec_pegasis_center_s16_rsa1024_aes</t>
  </si>
  <si>
    <t xml:space="preserve">sec_pegasis_center_s1_aes_only</t>
  </si>
  <si>
    <t xml:space="preserve">sec_pegasis_center_s2_hybrid_rsa</t>
  </si>
  <si>
    <t xml:space="preserve">sec_pegasis_center_s3_hybrid_ecc</t>
  </si>
  <si>
    <t xml:space="preserve">sec_pegasis_center_s4_full_ecc</t>
  </si>
  <si>
    <t xml:space="preserve">sec_pegasis_center_s5_full_rsa</t>
  </si>
  <si>
    <t xml:space="preserve">sec_pegasis_center_s6_once_rsa</t>
  </si>
  <si>
    <t xml:space="preserve">sec_pegasis_center_s7_once_ecc</t>
  </si>
  <si>
    <t xml:space="preserve">sec_pegasis_center_s8_bs_ecc</t>
  </si>
  <si>
    <t xml:space="preserve">sec_pegasis_center_s9_bs_rsa</t>
  </si>
  <si>
    <t xml:space="preserve">sec_pegasis_far_s0_none</t>
  </si>
  <si>
    <t xml:space="preserve">sec_pegasis_far_s10_ecc160_aes</t>
  </si>
  <si>
    <t xml:space="preserve">sec_pegasis_far_s11_p256_aes</t>
  </si>
  <si>
    <t xml:space="preserve">sec_pegasis_far_s12_ecc160_ecdsa</t>
  </si>
  <si>
    <t xml:space="preserve">sec_pegasis_far_s13_ecc160_swaes</t>
  </si>
  <si>
    <t xml:space="preserve">sec_pegasis_far_s14_x25519_aes</t>
  </si>
  <si>
    <t xml:space="preserve">sec_pegasis_far_s15_rsa3072_aes</t>
  </si>
  <si>
    <t xml:space="preserve">sec_pegasis_far_s16_rsa1024_aes</t>
  </si>
  <si>
    <t xml:space="preserve">sec_pegasis_far_s1_aes_only</t>
  </si>
  <si>
    <t xml:space="preserve">sec_pegasis_far_s2_hybrid_rsa</t>
  </si>
  <si>
    <t xml:space="preserve">sec_pegasis_far_s3_hybrid_ecc</t>
  </si>
  <si>
    <t xml:space="preserve">sec_pegasis_far_s4_full_ecc</t>
  </si>
  <si>
    <t xml:space="preserve">sec_pegasis_far_s5_full_rsa</t>
  </si>
  <si>
    <t xml:space="preserve">sec_pegasis_far_s6_once_rsa</t>
  </si>
  <si>
    <t xml:space="preserve">sec_pegasis_far_s7_once_ecc</t>
  </si>
  <si>
    <t xml:space="preserve">sec_pegasis_far_s8_bs_ecc</t>
  </si>
  <si>
    <t xml:space="preserve">sec_pegasis_far_s9_bs_rsa</t>
  </si>
  <si>
    <t xml:space="preserve">sec_v8_center_s0_none</t>
  </si>
  <si>
    <t xml:space="preserve">sec_v8_center_s10_ecc160_aes</t>
  </si>
  <si>
    <t xml:space="preserve">sec_v8_center_s11_p256_aes</t>
  </si>
  <si>
    <t xml:space="preserve">sec_v8_center_s12_ecc160_ecdsa</t>
  </si>
  <si>
    <t xml:space="preserve">sec_v8_center_s13_ecc160_swaes</t>
  </si>
  <si>
    <t xml:space="preserve">sec_v8_center_s14_x25519_aes</t>
  </si>
  <si>
    <t xml:space="preserve">sec_v8_center_s15_rsa3072_aes</t>
  </si>
  <si>
    <t xml:space="preserve">sec_v8_center_s16_rsa1024_aes</t>
  </si>
  <si>
    <t xml:space="preserve">sec_v8_center_s1_aes_only</t>
  </si>
  <si>
    <t xml:space="preserve">sec_v8_center_s2_hybrid_rsa</t>
  </si>
  <si>
    <t xml:space="preserve">sec_v8_center_s3_hybrid_ecc</t>
  </si>
  <si>
    <t xml:space="preserve">sec_v8_center_s4_full_ecc</t>
  </si>
  <si>
    <t xml:space="preserve">sec_v8_center_s5_full_rsa</t>
  </si>
  <si>
    <t xml:space="preserve">sec_v8_center_s6_once_rsa</t>
  </si>
  <si>
    <t xml:space="preserve">sec_v8_center_s7_once_ecc</t>
  </si>
  <si>
    <t xml:space="preserve">sec_v8_center_s8_bs_ecc</t>
  </si>
  <si>
    <t xml:space="preserve">sec_v8_center_s9_bs_rsa</t>
  </si>
  <si>
    <t xml:space="preserve">sec_v8chain_far_s0_none</t>
  </si>
  <si>
    <t xml:space="preserve">sec_v8chain_far_s10_ecc160_aes</t>
  </si>
  <si>
    <t xml:space="preserve">sec_v8chain_far_s11_p256_aes</t>
  </si>
  <si>
    <t xml:space="preserve">sec_v8chain_far_s12_ecc160_ecdsa</t>
  </si>
  <si>
    <t xml:space="preserve">sec_v8chain_far_s13_ecc160_swaes</t>
  </si>
  <si>
    <t xml:space="preserve">sec_v8chain_far_s14_x25519_aes</t>
  </si>
  <si>
    <t xml:space="preserve">sec_v8chain_far_s15_rsa3072_aes</t>
  </si>
  <si>
    <t xml:space="preserve">sec_v8chain_far_s16_rsa1024_aes</t>
  </si>
  <si>
    <t xml:space="preserve">sec_v8chain_far_s1_aes_only</t>
  </si>
  <si>
    <t xml:space="preserve">sec_v8chain_far_s2_hybrid_rsa</t>
  </si>
  <si>
    <t xml:space="preserve">sec_v8chain_far_s3_hybrid_ecc</t>
  </si>
  <si>
    <t xml:space="preserve">sec_v8chain_far_s4_full_ecc</t>
  </si>
  <si>
    <t xml:space="preserve">sec_v8chain_far_s5_full_rsa</t>
  </si>
  <si>
    <t xml:space="preserve">sec_v8chain_far_s6_once_rsa</t>
  </si>
  <si>
    <t xml:space="preserve">sec_v8chain_far_s7_once_ecc</t>
  </si>
  <si>
    <t xml:space="preserve">sec_v8chain_far_s8_bs_ecc</t>
  </si>
  <si>
    <t xml:space="preserve">sec_v8chain_far_s9_bs_rsa</t>
  </si>
  <si>
    <t xml:space="preserve">Best version of every family — unified environment, BS at the centre</t>
  </si>
  <si>
    <t xml:space="preserve">FND gain = v8-Chain FND ÷ protocol FND − 1 (the v8-Chain row is the reference).</t>
  </si>
  <si>
    <t xml:space="preserve">Protocol</t>
  </si>
  <si>
    <t xml:space="preserve">Run</t>
  </si>
  <si>
    <t xml:space="preserve">Family</t>
  </si>
  <si>
    <t xml:space="preserve">v8-Chain FND gain</t>
  </si>
  <si>
    <t xml:space="preserve">PDR difference (pp)</t>
  </si>
  <si>
    <t xml:space="preserve">LEACH</t>
  </si>
  <si>
    <t xml:space="preserve">Baseline</t>
  </si>
  <si>
    <t xml:space="preserve">HEED</t>
  </si>
  <si>
    <t xml:space="preserve">HEED + fairness</t>
  </si>
  <si>
    <t xml:space="preserve">Baseline variant</t>
  </si>
  <si>
    <t xml:space="preserve">PEGASIS</t>
  </si>
  <si>
    <t xml:space="preserve">SH-LEACH</t>
  </si>
  <si>
    <t xml:space="preserve">Literature hybrid</t>
  </si>
  <si>
    <t xml:space="preserve">SH-LEACH+</t>
  </si>
  <si>
    <t xml:space="preserve">Literature hybrid (improved)</t>
  </si>
  <si>
    <t xml:space="preserve">H-LEACH</t>
  </si>
  <si>
    <t xml:space="preserve">H-LEACH+</t>
  </si>
  <si>
    <t xml:space="preserve">EECH-HEED</t>
  </si>
  <si>
    <t xml:space="preserve">Recent hybrid</t>
  </si>
  <si>
    <t xml:space="preserve">EECH-HEED+</t>
  </si>
  <si>
    <t xml:space="preserve">Recent hybrid (improved)</t>
  </si>
  <si>
    <t xml:space="preserve">v8-Chain</t>
  </si>
  <si>
    <t xml:space="preserve">Proposed</t>
  </si>
  <si>
    <t xml:space="preserve">Published numbers vs. our reproduction in each paper's own settings</t>
  </si>
  <si>
    <t xml:space="preserve">Blue = published value typed from the paper (source in the last column). Difference = |ours − published| ÷ published.</t>
  </si>
  <si>
    <t xml:space="preserve">Pub. FND</t>
  </si>
  <si>
    <t xml:space="preserve">Pub. HND</t>
  </si>
  <si>
    <t xml:space="preserve">Pub. LND</t>
  </si>
  <si>
    <t xml:space="preserve">Our FND</t>
  </si>
  <si>
    <t xml:space="preserve">Our HND</t>
  </si>
  <si>
    <t xml:space="preserve">Our LND</t>
  </si>
  <si>
    <t xml:space="preserve">Our PDR</t>
  </si>
  <si>
    <t xml:space="preserve">FND diff.</t>
  </si>
  <si>
    <t xml:space="preserve">HND diff.</t>
  </si>
  <si>
    <t xml:space="preserve">LND diff.</t>
  </si>
  <si>
    <t xml:space="preserve">Source</t>
  </si>
  <si>
    <t xml:space="preserve">n/a</t>
  </si>
  <si>
    <t xml:space="preserve">Heinzelman et al. 2000, Table 2 (0.5 J)</t>
  </si>
  <si>
    <t xml:space="preserve">Younis &amp; Fahmy 2004 — graphs only</t>
  </si>
  <si>
    <t xml:space="preserve">Lindsey &amp; Raghavendra 2002, Table 1 (50×50 m)</t>
  </si>
  <si>
    <t xml:space="preserve">Shrestha et al. 2015 — graphs only</t>
  </si>
  <si>
    <t xml:space="preserve">Razaque et al. 2016 — read from Fig. 2</t>
  </si>
  <si>
    <t xml:space="preserve">Kaur, Kour &amp; Singh 2025, Table 7</t>
  </si>
  <si>
    <t xml:space="preserve">H-LEACH's published 4312 comes from a constant per-round energy, not a radio model, so it is not comparable.</t>
  </si>
  <si>
    <t xml:space="preserve">Literature hybrids: original → unified → improved</t>
  </si>
  <si>
    <t xml:space="preserve">Improvement = improved ÷ unified − 1.</t>
  </si>
  <si>
    <t xml:space="preserve">Stage</t>
  </si>
  <si>
    <t xml:space="preserve">What changed</t>
  </si>
  <si>
    <t xml:space="preserve">Original</t>
  </si>
  <si>
    <t xml:space="preserve">paper settings (Eq. 3 as written)</t>
  </si>
  <si>
    <t xml:space="preserve">Edited</t>
  </si>
  <si>
    <t xml:space="preserve">unified environment</t>
  </si>
  <si>
    <t xml:space="preserve">Improved</t>
  </si>
  <si>
    <t xml:space="preserve">round factor r → r mod 1/C_prob</t>
  </si>
  <si>
    <t xml:space="preserve">paper settings (fallback CH needed)</t>
  </si>
  <si>
    <t xml:space="preserve">≥ average + LEACH G-set</t>
  </si>
  <si>
    <t xml:space="preserve">paper settings (sensing on, 56 J)</t>
  </si>
  <si>
    <t xml:space="preserve">unified environment (sensing off)</t>
  </si>
  <si>
    <t xml:space="preserve">zone-2 rotation at 10 % CH target</t>
  </si>
  <si>
    <t xml:space="preserve">FND gain</t>
  </si>
  <si>
    <t xml:space="preserve">HND gain</t>
  </si>
  <si>
    <t xml:space="preserve">LND gain</t>
  </si>
  <si>
    <t xml:space="preserve">PDR (pp)</t>
  </si>
  <si>
    <t xml:space="preserve">Proposed protocol — every version</t>
  </si>
  <si>
    <t xml:space="preserve">Change vs v1 = FND ÷ v1 FND − 1.</t>
  </si>
  <si>
    <t xml:space="preserve">Version</t>
  </si>
  <si>
    <t xml:space="preserve">Change introduced</t>
  </si>
  <si>
    <t xml:space="preserve">FND vs v1</t>
  </si>
  <si>
    <t xml:space="preserve">v1</t>
  </si>
  <si>
    <t xml:space="preserve">HEED election + LEACH nearest join</t>
  </si>
  <si>
    <t xml:space="preserve">v2</t>
  </si>
  <si>
    <t xml:space="preserve">+ rotation-fairness penalty</t>
  </si>
  <si>
    <t xml:space="preserve">v3</t>
  </si>
  <si>
    <t xml:space="preserve">single-pass score + 5-round reuse</t>
  </si>
  <si>
    <t xml:space="preserve">v4</t>
  </si>
  <si>
    <t xml:space="preserve">reuse interval 15</t>
  </si>
  <si>
    <t xml:space="preserve">v5</t>
  </si>
  <si>
    <t xml:space="preserve">+ backup CH (interval 15)</t>
  </si>
  <si>
    <t xml:space="preserve">v5-exp (int 5)</t>
  </si>
  <si>
    <t xml:space="preserve">backup + cluster repair, interval 5</t>
  </si>
  <si>
    <t xml:space="preserve">v5-exp (int 10)</t>
  </si>
  <si>
    <t xml:space="preserve">same, interval 10</t>
  </si>
  <si>
    <t xml:space="preserve">v5b</t>
  </si>
  <si>
    <t xml:space="preserve">+ energy-aware backup check</t>
  </si>
  <si>
    <t xml:space="preserve">v6 (centre)</t>
  </si>
  <si>
    <t xml:space="preserve">ordered CH chain</t>
  </si>
  <si>
    <t xml:space="preserve">v6 (far BS)</t>
  </si>
  <si>
    <t xml:space="preserve">ordered CH chain, BS (50,−100)</t>
  </si>
  <si>
    <t xml:space="preserve">v7 (centre)</t>
  </si>
  <si>
    <t xml:space="preserve">chain + backup + chain repair</t>
  </si>
  <si>
    <t xml:space="preserve">v7 (far BS)</t>
  </si>
  <si>
    <t xml:space="preserve">same, BS (50,−100)</t>
  </si>
  <si>
    <t xml:space="preserve">v7.1</t>
  </si>
  <si>
    <t xml:space="preserve">greedy multihop tree</t>
  </si>
  <si>
    <t xml:space="preserve">v7.2</t>
  </si>
  <si>
    <t xml:space="preserve">multihop, interval 10</t>
  </si>
  <si>
    <t xml:space="preserve">v8 (centre)</t>
  </si>
  <si>
    <t xml:space="preserve">v5b + I1–I5</t>
  </si>
  <si>
    <t xml:space="preserve">v8 (far BS)</t>
  </si>
  <si>
    <t xml:space="preserve">v8-Chain (centre)</t>
  </si>
  <si>
    <t xml:space="preserve">v8 + energy-aware CH relay</t>
  </si>
  <si>
    <t xml:space="preserve">v8-Chain (far BS)</t>
  </si>
  <si>
    <t xml:space="preserve">v8 with one improvement removed (compile flag -DI&lt;k&gt;=0)</t>
  </si>
  <si>
    <t xml:space="preserve">Change = run FND ÷ full v8 FND − 1.</t>
  </si>
  <si>
    <t xml:space="preserve">Removed mechanism</t>
  </si>
  <si>
    <t xml:space="preserve">FND change</t>
  </si>
  <si>
    <t xml:space="preserve">— (full v8)</t>
  </si>
  <si>
    <t xml:space="preserve">I1 epoch-exhaustion fix</t>
  </si>
  <si>
    <t xml:space="preserve">I2 proactive CH handover</t>
  </si>
  <si>
    <t xml:space="preserve">I3 orphan re-join</t>
  </si>
  <si>
    <t xml:space="preserve">I4 direct-to-BS</t>
  </si>
  <si>
    <t xml:space="preserve">I5 energy-gated election</t>
  </si>
  <si>
    <t xml:space="preserve">CH → BS routing mode of v8-Chain (compile flag -DCHAIN_MODE)</t>
  </si>
  <si>
    <t xml:space="preserve">Gain = mode FND ÷ direct FND − 1 for the same BS position.</t>
  </si>
  <si>
    <t xml:space="preserve">BS</t>
  </si>
  <si>
    <t xml:space="preserve">Mode</t>
  </si>
  <si>
    <t xml:space="preserve">FND vs direct</t>
  </si>
  <si>
    <t xml:space="preserve">centre (50,50)</t>
  </si>
  <si>
    <t xml:space="preserve">0 · direct CH → BS (= v8)</t>
  </si>
  <si>
    <t xml:space="preserve">1 · ordered CH chain</t>
  </si>
  <si>
    <t xml:space="preserve">2 · energy-aware relay (= v8-Chain)</t>
  </si>
  <si>
    <t xml:space="preserve">far (50,−100)</t>
  </si>
  <si>
    <t xml:space="preserve">8 random topologies (compile flag -DTOPO_SEED)</t>
  </si>
  <si>
    <t xml:space="preserve">Mean / min / max are formulas over the 8 seeds of each protocol.</t>
  </si>
  <si>
    <t xml:space="preserve">Seed</t>
  </si>
  <si>
    <t xml:space="preserve">v5b (centre)</t>
  </si>
  <si>
    <t xml:space="preserve">12345</t>
  </si>
  <si>
    <t xml:space="preserve">1</t>
  </si>
  <si>
    <t xml:space="preserve">7</t>
  </si>
  <si>
    <t xml:space="preserve">42</t>
  </si>
  <si>
    <t xml:space="preserve">99</t>
  </si>
  <si>
    <t xml:space="preserve">2024</t>
  </si>
  <si>
    <t xml:space="preserve">31337</t>
  </si>
  <si>
    <t xml:space="preserve">555</t>
  </si>
  <si>
    <t xml:space="preserve">Mean FND</t>
  </si>
  <si>
    <t xml:space="preserve">Mean HND</t>
  </si>
  <si>
    <t xml:space="preserve">Mean LND</t>
  </si>
  <si>
    <t xml:space="preserve">Mean PDR</t>
  </si>
  <si>
    <t xml:space="preserve">Min FND</t>
  </si>
  <si>
    <t xml:space="preserve">Max FND</t>
  </si>
  <si>
    <t xml:space="preserve">FND spread</t>
  </si>
  <si>
    <t xml:space="preserve">Unified simulation environment (EDITED, IMPROVED and PROPOSED codes)</t>
  </si>
  <si>
    <t xml:space="preserve">Parameter</t>
  </si>
  <si>
    <t xml:space="preserve">Value</t>
  </si>
  <si>
    <t xml:space="preserve">Nodes</t>
  </si>
  <si>
    <t xml:space="preserve">100, random uniform</t>
  </si>
  <si>
    <t xml:space="preserve">Field</t>
  </si>
  <si>
    <t xml:space="preserve">100 × 100 m</t>
  </si>
  <si>
    <t xml:space="preserve">Initial energy</t>
  </si>
  <si>
    <t xml:space="preserve">0.5 J per node (50 J total)</t>
  </si>
  <si>
    <t xml:space="preserve">Base station</t>
  </si>
  <si>
    <t xml:space="preserve">centre (50, 50); far case (50, −100)</t>
  </si>
  <si>
    <t xml:space="preserve">Data / control packet</t>
  </si>
  <si>
    <t xml:space="preserve">2000 / 200 bits</t>
  </si>
  <si>
    <t xml:space="preserve">Radio model</t>
  </si>
  <si>
    <t xml:space="preserve">first-order, two-slope (d² / d⁴)</t>
  </si>
  <si>
    <t xml:space="preserve">E_elec</t>
  </si>
  <si>
    <t xml:space="preserve">50 nJ/bit</t>
  </si>
  <si>
    <t xml:space="preserve">ε_fs / ε_mp</t>
  </si>
  <si>
    <t xml:space="preserve">10 pJ/bit/m² / 0.0013 pJ/bit/m⁴</t>
  </si>
  <si>
    <t xml:space="preserve">d0 = √(ε_fs/ε_mp)</t>
  </si>
  <si>
    <t xml:space="preserve">≈ 87.7 m</t>
  </si>
  <si>
    <t xml:space="preserve">E_DA (aggregation)</t>
  </si>
  <si>
    <t xml:space="preserve">5 nJ/bit/signal</t>
  </si>
  <si>
    <t xml:space="preserve">Neighbour range</t>
  </si>
  <si>
    <t xml:space="preserve">25 m</t>
  </si>
  <si>
    <t xml:space="preserve">Setup overhead</t>
  </si>
  <si>
    <t xml:space="preserve">CH advertisement to every node that may join, join request, TDMA schedule</t>
  </si>
  <si>
    <t xml:space="preserve">Fusion</t>
  </si>
  <si>
    <t xml:space="preserve">members + the CH's own signal</t>
  </si>
  <si>
    <t xml:space="preserve">Node without CH</t>
  </si>
  <si>
    <t xml:space="preserve">sends directly to the BS</t>
  </si>
  <si>
    <t xml:space="preserve">Run length</t>
  </si>
  <si>
    <t xml:space="preserve">until the last node dies</t>
  </si>
  <si>
    <t xml:space="preserve">12345 (robustness: 12345, 1, 7, 42, 99, 2024, 31337, 555)</t>
  </si>
  <si>
    <t xml:space="preserve">Simulator</t>
  </si>
  <si>
    <t xml:space="preserve">ns-3.41, C++, analytical energy model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</si>
</sst>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\+0.0%;\-0.0%;0.0%"/>
    <numFmt numFmtId="168" formatCode="\+0.00;\-0.00;0.00"/>
    <numFmt numFmtId="169" formatCode="0.0%"/>
    <numFmt numFmtId="170" formatCode="\+0.00;\-0.00"/>
    <numFmt numFmtId="171" formatCode="\±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3F6FB"/>
        <bgColor rgb="FFFFFFFF"/>
      </patternFill>
    </fill>
    <fill>
      <patternFill patternType="solid">
        <fgColor rgb="FFDCE9FA"/>
        <bgColor rgb="FFF3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8D2"/>
      </left>
      <right style="thin">
        <color rgb="FFD9D8D2"/>
      </right>
      <top style="thin">
        <color rgb="FFD9D8D2"/>
      </top>
      <bottom style="thin">
        <color rgb="FFD9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8D2"/>
      <rgbColor rgb="FF878787"/>
      <rgbColor rgb="FF9999FF"/>
      <rgbColor rgb="FF993366"/>
      <rgbColor rgb="FFF3F6FB"/>
      <rgbColor rgb="FFDCE9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F5E5A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Network lifetime (rounds)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Comparison!D4</c:f>
              <c:strCache>
                <c:ptCount val="1"/>
                <c:pt idx="0">
                  <c:v>FND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Comparison!$A$5:$A$15</c:f>
              <c:strCache>
                <c:ptCount val="11"/>
                <c:pt idx="0">
                  <c:v>LEACH</c:v>
                </c:pt>
                <c:pt idx="1">
                  <c:v>HEED</c:v>
                </c:pt>
                <c:pt idx="2">
                  <c:v>HEED + fairness</c:v>
                </c:pt>
                <c:pt idx="3">
                  <c:v>PEGASIS</c:v>
                </c:pt>
                <c:pt idx="4">
                  <c:v>SH-LEACH</c:v>
                </c:pt>
                <c:pt idx="5">
                  <c:v>SH-LEACH+</c:v>
                </c:pt>
                <c:pt idx="6">
                  <c:v>H-LEACH</c:v>
                </c:pt>
                <c:pt idx="7">
                  <c:v>H-LEACH+</c:v>
                </c:pt>
                <c:pt idx="8">
                  <c:v>EECH-HEED</c:v>
                </c:pt>
                <c:pt idx="9">
                  <c:v>EECH-HEED+</c:v>
                </c:pt>
                <c:pt idx="10">
                  <c:v>v8-Chain</c:v>
                </c:pt>
              </c:strCache>
            </c:strRef>
          </c:cat>
          <c:val>
            <c:numRef>
              <c:f>Comparison!$D$5:$D$15</c:f>
              <c:numCache>
                <c:formatCode>#,##0</c:formatCode>
                <c:ptCount val="11"/>
                <c:pt idx="0">
                  <c:v>1383</c:v>
                </c:pt>
                <c:pt idx="1">
                  <c:v>658</c:v>
                </c:pt>
                <c:pt idx="2">
                  <c:v>738</c:v>
                </c:pt>
                <c:pt idx="3">
                  <c:v>1324</c:v>
                </c:pt>
                <c:pt idx="4">
                  <c:v>647</c:v>
                </c:pt>
                <c:pt idx="5">
                  <c:v>1480</c:v>
                </c:pt>
                <c:pt idx="6">
                  <c:v>1384</c:v>
                </c:pt>
                <c:pt idx="7">
                  <c:v>1473</c:v>
                </c:pt>
                <c:pt idx="8">
                  <c:v>1277</c:v>
                </c:pt>
                <c:pt idx="9">
                  <c:v>1335</c:v>
                </c:pt>
                <c:pt idx="10">
                  <c:v>2446</c:v>
                </c:pt>
              </c:numCache>
            </c:numRef>
          </c:val>
        </c:ser>
        <c:ser>
          <c:idx val="1"/>
          <c:order val="1"/>
          <c:tx>
            <c:strRef>
              <c:f>Comparison!E4</c:f>
              <c:strCache>
                <c:ptCount val="1"/>
                <c:pt idx="0">
                  <c:v>HND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Comparison!$A$5:$A$15</c:f>
              <c:strCache>
                <c:ptCount val="11"/>
                <c:pt idx="0">
                  <c:v>LEACH</c:v>
                </c:pt>
                <c:pt idx="1">
                  <c:v>HEED</c:v>
                </c:pt>
                <c:pt idx="2">
                  <c:v>HEED + fairness</c:v>
                </c:pt>
                <c:pt idx="3">
                  <c:v>PEGASIS</c:v>
                </c:pt>
                <c:pt idx="4">
                  <c:v>SH-LEACH</c:v>
                </c:pt>
                <c:pt idx="5">
                  <c:v>SH-LEACH+</c:v>
                </c:pt>
                <c:pt idx="6">
                  <c:v>H-LEACH</c:v>
                </c:pt>
                <c:pt idx="7">
                  <c:v>H-LEACH+</c:v>
                </c:pt>
                <c:pt idx="8">
                  <c:v>EECH-HEED</c:v>
                </c:pt>
                <c:pt idx="9">
                  <c:v>EECH-HEED+</c:v>
                </c:pt>
                <c:pt idx="10">
                  <c:v>v8-Chain</c:v>
                </c:pt>
              </c:strCache>
            </c:strRef>
          </c:cat>
          <c:val>
            <c:numRef>
              <c:f>Comparison!$E$5:$E$15</c:f>
              <c:numCache>
                <c:formatCode>#,##0</c:formatCode>
                <c:ptCount val="11"/>
                <c:pt idx="0">
                  <c:v>1586</c:v>
                </c:pt>
                <c:pt idx="1">
                  <c:v>1197</c:v>
                </c:pt>
                <c:pt idx="2">
                  <c:v>1157</c:v>
                </c:pt>
                <c:pt idx="3">
                  <c:v>2352</c:v>
                </c:pt>
                <c:pt idx="4">
                  <c:v>702</c:v>
                </c:pt>
                <c:pt idx="5">
                  <c:v>1542</c:v>
                </c:pt>
                <c:pt idx="6">
                  <c:v>1419</c:v>
                </c:pt>
                <c:pt idx="7">
                  <c:v>1509</c:v>
                </c:pt>
                <c:pt idx="8">
                  <c:v>1384</c:v>
                </c:pt>
                <c:pt idx="9">
                  <c:v>1384</c:v>
                </c:pt>
                <c:pt idx="10">
                  <c:v>2536</c:v>
                </c:pt>
              </c:numCache>
            </c:numRef>
          </c:val>
        </c:ser>
        <c:ser>
          <c:idx val="2"/>
          <c:order val="2"/>
          <c:tx>
            <c:strRef>
              <c:f>Comparison!F4</c:f>
              <c:strCache>
                <c:ptCount val="1"/>
                <c:pt idx="0">
                  <c:v>LND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Comparison!$A$5:$A$15</c:f>
              <c:strCache>
                <c:ptCount val="11"/>
                <c:pt idx="0">
                  <c:v>LEACH</c:v>
                </c:pt>
                <c:pt idx="1">
                  <c:v>HEED</c:v>
                </c:pt>
                <c:pt idx="2">
                  <c:v>HEED + fairness</c:v>
                </c:pt>
                <c:pt idx="3">
                  <c:v>PEGASIS</c:v>
                </c:pt>
                <c:pt idx="4">
                  <c:v>SH-LEACH</c:v>
                </c:pt>
                <c:pt idx="5">
                  <c:v>SH-LEACH+</c:v>
                </c:pt>
                <c:pt idx="6">
                  <c:v>H-LEACH</c:v>
                </c:pt>
                <c:pt idx="7">
                  <c:v>H-LEACH+</c:v>
                </c:pt>
                <c:pt idx="8">
                  <c:v>EECH-HEED</c:v>
                </c:pt>
                <c:pt idx="9">
                  <c:v>EECH-HEED+</c:v>
                </c:pt>
                <c:pt idx="10">
                  <c:v>v8-Chain</c:v>
                </c:pt>
              </c:strCache>
            </c:strRef>
          </c:cat>
          <c:val>
            <c:numRef>
              <c:f>Comparison!$F$5:$F$15</c:f>
              <c:numCache>
                <c:formatCode>#,##0</c:formatCode>
                <c:ptCount val="11"/>
                <c:pt idx="0">
                  <c:v>1842</c:v>
                </c:pt>
                <c:pt idx="1">
                  <c:v>1875</c:v>
                </c:pt>
                <c:pt idx="2">
                  <c:v>1969</c:v>
                </c:pt>
                <c:pt idx="3">
                  <c:v>3504</c:v>
                </c:pt>
                <c:pt idx="4">
                  <c:v>721</c:v>
                </c:pt>
                <c:pt idx="5">
                  <c:v>1558</c:v>
                </c:pt>
                <c:pt idx="6">
                  <c:v>1434</c:v>
                </c:pt>
                <c:pt idx="7">
                  <c:v>1525</c:v>
                </c:pt>
                <c:pt idx="8">
                  <c:v>1543</c:v>
                </c:pt>
                <c:pt idx="9">
                  <c:v>1766</c:v>
                </c:pt>
                <c:pt idx="10">
                  <c:v>2566</c:v>
                </c:pt>
              </c:numCache>
            </c:numRef>
          </c:val>
        </c:ser>
        <c:gapWidth val="150"/>
        <c:overlap val="0"/>
        <c:axId val="32135223"/>
        <c:axId val="33015798"/>
      </c:barChart>
      <c:catAx>
        <c:axId val="32135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15798"/>
        <c:crosses val="autoZero"/>
        <c:auto val="1"/>
        <c:lblAlgn val="ctr"/>
        <c:lblOffset val="100"/>
        <c:noMultiLvlLbl val="0"/>
      </c:catAx>
      <c:valAx>
        <c:axId val="33015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35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Proposed protocol — lifetime per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Evolution!D4</c:f>
              <c:strCache>
                <c:ptCount val="1"/>
                <c:pt idx="0">
                  <c:v>FND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Evolution!$A$5:$A$22</c:f>
              <c:strCache>
                <c:ptCount val="1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v5-exp (int 5)</c:v>
                </c:pt>
                <c:pt idx="6">
                  <c:v>v5-exp (int 10)</c:v>
                </c:pt>
                <c:pt idx="7">
                  <c:v>v5b</c:v>
                </c:pt>
                <c:pt idx="8">
                  <c:v>v6 (centre)</c:v>
                </c:pt>
                <c:pt idx="9">
                  <c:v>v6 (far BS)</c:v>
                </c:pt>
                <c:pt idx="10">
                  <c:v>v7 (centre)</c:v>
                </c:pt>
                <c:pt idx="11">
                  <c:v>v7 (far BS)</c:v>
                </c:pt>
                <c:pt idx="12">
                  <c:v>v7.1</c:v>
                </c:pt>
                <c:pt idx="13">
                  <c:v>v7.2</c:v>
                </c:pt>
                <c:pt idx="14">
                  <c:v>v8 (centre)</c:v>
                </c:pt>
                <c:pt idx="15">
                  <c:v>v8 (far BS)</c:v>
                </c:pt>
                <c:pt idx="16">
                  <c:v>v8-Chain (centre)</c:v>
                </c:pt>
                <c:pt idx="17">
                  <c:v>v8-Chain (far BS)</c:v>
                </c:pt>
              </c:strCache>
            </c:strRef>
          </c:cat>
          <c:val>
            <c:numRef>
              <c:f>Evolution!$D$5:$D$22</c:f>
              <c:numCache>
                <c:formatCode>#,##0</c:formatCode>
                <c:ptCount val="18"/>
                <c:pt idx="0">
                  <c:v>320</c:v>
                </c:pt>
                <c:pt idx="1">
                  <c:v>334</c:v>
                </c:pt>
                <c:pt idx="2">
                  <c:v>1645</c:v>
                </c:pt>
                <c:pt idx="3">
                  <c:v>1513</c:v>
                </c:pt>
                <c:pt idx="4">
                  <c:v>1513</c:v>
                </c:pt>
                <c:pt idx="5">
                  <c:v>1645</c:v>
                </c:pt>
                <c:pt idx="6">
                  <c:v>1540</c:v>
                </c:pt>
                <c:pt idx="7">
                  <c:v>1645</c:v>
                </c:pt>
                <c:pt idx="8">
                  <c:v>1521</c:v>
                </c:pt>
                <c:pt idx="9">
                  <c:v>1481</c:v>
                </c:pt>
                <c:pt idx="10">
                  <c:v>1521</c:v>
                </c:pt>
                <c:pt idx="11">
                  <c:v>1481</c:v>
                </c:pt>
                <c:pt idx="12">
                  <c:v>1466</c:v>
                </c:pt>
                <c:pt idx="13">
                  <c:v>1431</c:v>
                </c:pt>
                <c:pt idx="14">
                  <c:v>2446</c:v>
                </c:pt>
                <c:pt idx="15">
                  <c:v>1406</c:v>
                </c:pt>
                <c:pt idx="16">
                  <c:v>2446</c:v>
                </c:pt>
                <c:pt idx="17">
                  <c:v>1626</c:v>
                </c:pt>
              </c:numCache>
            </c:numRef>
          </c:val>
        </c:ser>
        <c:ser>
          <c:idx val="1"/>
          <c:order val="1"/>
          <c:tx>
            <c:strRef>
              <c:f>Evolution!E4</c:f>
              <c:strCache>
                <c:ptCount val="1"/>
                <c:pt idx="0">
                  <c:v>HND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Evolution!$A$5:$A$22</c:f>
              <c:strCache>
                <c:ptCount val="1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v5-exp (int 5)</c:v>
                </c:pt>
                <c:pt idx="6">
                  <c:v>v5-exp (int 10)</c:v>
                </c:pt>
                <c:pt idx="7">
                  <c:v>v5b</c:v>
                </c:pt>
                <c:pt idx="8">
                  <c:v>v6 (centre)</c:v>
                </c:pt>
                <c:pt idx="9">
                  <c:v>v6 (far BS)</c:v>
                </c:pt>
                <c:pt idx="10">
                  <c:v>v7 (centre)</c:v>
                </c:pt>
                <c:pt idx="11">
                  <c:v>v7 (far BS)</c:v>
                </c:pt>
                <c:pt idx="12">
                  <c:v>v7.1</c:v>
                </c:pt>
                <c:pt idx="13">
                  <c:v>v7.2</c:v>
                </c:pt>
                <c:pt idx="14">
                  <c:v>v8 (centre)</c:v>
                </c:pt>
                <c:pt idx="15">
                  <c:v>v8 (far BS)</c:v>
                </c:pt>
                <c:pt idx="16">
                  <c:v>v8-Chain (centre)</c:v>
                </c:pt>
                <c:pt idx="17">
                  <c:v>v8-Chain (far BS)</c:v>
                </c:pt>
              </c:strCache>
            </c:strRef>
          </c:cat>
          <c:val>
            <c:numRef>
              <c:f>Evolution!$E$5:$E$22</c:f>
              <c:numCache>
                <c:formatCode>#,##0</c:formatCode>
                <c:ptCount val="18"/>
                <c:pt idx="0">
                  <c:v>529</c:v>
                </c:pt>
                <c:pt idx="1">
                  <c:v>528</c:v>
                </c:pt>
                <c:pt idx="2">
                  <c:v>2001</c:v>
                </c:pt>
                <c:pt idx="3">
                  <c:v>2158</c:v>
                </c:pt>
                <c:pt idx="4">
                  <c:v>2116</c:v>
                </c:pt>
                <c:pt idx="5">
                  <c:v>1996</c:v>
                </c:pt>
                <c:pt idx="6">
                  <c:v>2090</c:v>
                </c:pt>
                <c:pt idx="7">
                  <c:v>1996</c:v>
                </c:pt>
                <c:pt idx="8">
                  <c:v>1913</c:v>
                </c:pt>
                <c:pt idx="9">
                  <c:v>1816</c:v>
                </c:pt>
                <c:pt idx="10">
                  <c:v>1906</c:v>
                </c:pt>
                <c:pt idx="11">
                  <c:v>1796</c:v>
                </c:pt>
                <c:pt idx="12">
                  <c:v>1896</c:v>
                </c:pt>
                <c:pt idx="13">
                  <c:v>1996</c:v>
                </c:pt>
                <c:pt idx="14">
                  <c:v>2536</c:v>
                </c:pt>
                <c:pt idx="15">
                  <c:v>1551</c:v>
                </c:pt>
                <c:pt idx="16">
                  <c:v>2536</c:v>
                </c:pt>
                <c:pt idx="17">
                  <c:v>1821</c:v>
                </c:pt>
              </c:numCache>
            </c:numRef>
          </c:val>
        </c:ser>
        <c:ser>
          <c:idx val="2"/>
          <c:order val="2"/>
          <c:tx>
            <c:strRef>
              <c:f>Evolution!F4</c:f>
              <c:strCache>
                <c:ptCount val="1"/>
                <c:pt idx="0">
                  <c:v>LND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Evolution!$A$5:$A$22</c:f>
              <c:strCache>
                <c:ptCount val="1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v5-exp (int 5)</c:v>
                </c:pt>
                <c:pt idx="6">
                  <c:v>v5-exp (int 10)</c:v>
                </c:pt>
                <c:pt idx="7">
                  <c:v>v5b</c:v>
                </c:pt>
                <c:pt idx="8">
                  <c:v>v6 (centre)</c:v>
                </c:pt>
                <c:pt idx="9">
                  <c:v>v6 (far BS)</c:v>
                </c:pt>
                <c:pt idx="10">
                  <c:v>v7 (centre)</c:v>
                </c:pt>
                <c:pt idx="11">
                  <c:v>v7 (far BS)</c:v>
                </c:pt>
                <c:pt idx="12">
                  <c:v>v7.1</c:v>
                </c:pt>
                <c:pt idx="13">
                  <c:v>v7.2</c:v>
                </c:pt>
                <c:pt idx="14">
                  <c:v>v8 (centre)</c:v>
                </c:pt>
                <c:pt idx="15">
                  <c:v>v8 (far BS)</c:v>
                </c:pt>
                <c:pt idx="16">
                  <c:v>v8-Chain (centre)</c:v>
                </c:pt>
                <c:pt idx="17">
                  <c:v>v8-Chain (far BS)</c:v>
                </c:pt>
              </c:strCache>
            </c:strRef>
          </c:cat>
          <c:val>
            <c:numRef>
              <c:f>Evolution!$F$5:$F$22</c:f>
              <c:numCache>
                <c:formatCode>#,##0</c:formatCode>
                <c:ptCount val="18"/>
                <c:pt idx="0">
                  <c:v>1218</c:v>
                </c:pt>
                <c:pt idx="1">
                  <c:v>1285</c:v>
                </c:pt>
                <c:pt idx="2">
                  <c:v>2203</c:v>
                </c:pt>
                <c:pt idx="3">
                  <c:v>2416</c:v>
                </c:pt>
                <c:pt idx="4">
                  <c:v>2356</c:v>
                </c:pt>
                <c:pt idx="5">
                  <c:v>2081</c:v>
                </c:pt>
                <c:pt idx="6">
                  <c:v>2259</c:v>
                </c:pt>
                <c:pt idx="7">
                  <c:v>2116</c:v>
                </c:pt>
                <c:pt idx="8">
                  <c:v>2025</c:v>
                </c:pt>
                <c:pt idx="9">
                  <c:v>1961</c:v>
                </c:pt>
                <c:pt idx="10">
                  <c:v>2011</c:v>
                </c:pt>
                <c:pt idx="11">
                  <c:v>1911</c:v>
                </c:pt>
                <c:pt idx="12">
                  <c:v>2011</c:v>
                </c:pt>
                <c:pt idx="13">
                  <c:v>2181</c:v>
                </c:pt>
                <c:pt idx="14">
                  <c:v>2566</c:v>
                </c:pt>
                <c:pt idx="15">
                  <c:v>1606</c:v>
                </c:pt>
                <c:pt idx="16">
                  <c:v>2566</c:v>
                </c:pt>
                <c:pt idx="17">
                  <c:v>1881</c:v>
                </c:pt>
              </c:numCache>
            </c:numRef>
          </c:val>
        </c:ser>
        <c:gapWidth val="150"/>
        <c:overlap val="0"/>
        <c:axId val="6505993"/>
        <c:axId val="39638910"/>
      </c:barChart>
      <c:catAx>
        <c:axId val="6505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38910"/>
        <c:crosses val="autoZero"/>
        <c:auto val="1"/>
        <c:lblAlgn val="ctr"/>
        <c:lblOffset val="100"/>
        <c:noMultiLvlLbl val="0"/>
      </c:catAx>
      <c:valAx>
        <c:axId val="39638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5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Ablation — lifetime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Ablation!C4</c:f>
              <c:strCache>
                <c:ptCount val="1"/>
                <c:pt idx="0">
                  <c:v>FND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Ablation!$B$5:$B$10</c:f>
              <c:strCache>
                <c:ptCount val="6"/>
                <c:pt idx="0">
                  <c:v>— (full v8)</c:v>
                </c:pt>
                <c:pt idx="1">
                  <c:v>I1 epoch-exhaustion fix</c:v>
                </c:pt>
                <c:pt idx="2">
                  <c:v>I2 proactive CH handover</c:v>
                </c:pt>
                <c:pt idx="3">
                  <c:v>I3 orphan re-join</c:v>
                </c:pt>
                <c:pt idx="4">
                  <c:v>I4 direct-to-BS</c:v>
                </c:pt>
                <c:pt idx="5">
                  <c:v>I5 energy-gated election</c:v>
                </c:pt>
              </c:strCache>
            </c:strRef>
          </c:cat>
          <c:val>
            <c:numRef>
              <c:f>Ablation!$C$5:$C$10</c:f>
              <c:numCache>
                <c:formatCode>#,##0</c:formatCode>
                <c:ptCount val="6"/>
                <c:pt idx="0">
                  <c:v>2446</c:v>
                </c:pt>
                <c:pt idx="1">
                  <c:v>2451</c:v>
                </c:pt>
                <c:pt idx="2">
                  <c:v>2430</c:v>
                </c:pt>
                <c:pt idx="3">
                  <c:v>2446</c:v>
                </c:pt>
                <c:pt idx="4">
                  <c:v>1766</c:v>
                </c:pt>
                <c:pt idx="5">
                  <c:v>2171</c:v>
                </c:pt>
              </c:numCache>
            </c:numRef>
          </c:val>
        </c:ser>
        <c:ser>
          <c:idx val="1"/>
          <c:order val="1"/>
          <c:tx>
            <c:strRef>
              <c:f>Ablation!D4</c:f>
              <c:strCache>
                <c:ptCount val="1"/>
                <c:pt idx="0">
                  <c:v>HND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Ablation!$B$5:$B$10</c:f>
              <c:strCache>
                <c:ptCount val="6"/>
                <c:pt idx="0">
                  <c:v>— (full v8)</c:v>
                </c:pt>
                <c:pt idx="1">
                  <c:v>I1 epoch-exhaustion fix</c:v>
                </c:pt>
                <c:pt idx="2">
                  <c:v>I2 proactive CH handover</c:v>
                </c:pt>
                <c:pt idx="3">
                  <c:v>I3 orphan re-join</c:v>
                </c:pt>
                <c:pt idx="4">
                  <c:v>I4 direct-to-BS</c:v>
                </c:pt>
                <c:pt idx="5">
                  <c:v>I5 energy-gated election</c:v>
                </c:pt>
              </c:strCache>
            </c:strRef>
          </c:cat>
          <c:val>
            <c:numRef>
              <c:f>Ablation!$D$5:$D$10</c:f>
              <c:numCache>
                <c:formatCode>#,##0</c:formatCode>
                <c:ptCount val="6"/>
                <c:pt idx="0">
                  <c:v>2536</c:v>
                </c:pt>
                <c:pt idx="1">
                  <c:v>2541</c:v>
                </c:pt>
                <c:pt idx="2">
                  <c:v>2535</c:v>
                </c:pt>
                <c:pt idx="3">
                  <c:v>2536</c:v>
                </c:pt>
                <c:pt idx="4">
                  <c:v>1916</c:v>
                </c:pt>
                <c:pt idx="5">
                  <c:v>2481</c:v>
                </c:pt>
              </c:numCache>
            </c:numRef>
          </c:val>
        </c:ser>
        <c:ser>
          <c:idx val="2"/>
          <c:order val="2"/>
          <c:tx>
            <c:strRef>
              <c:f>Ablation!E4</c:f>
              <c:strCache>
                <c:ptCount val="1"/>
                <c:pt idx="0">
                  <c:v>LND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Ablation!$B$5:$B$10</c:f>
              <c:strCache>
                <c:ptCount val="6"/>
                <c:pt idx="0">
                  <c:v>— (full v8)</c:v>
                </c:pt>
                <c:pt idx="1">
                  <c:v>I1 epoch-exhaustion fix</c:v>
                </c:pt>
                <c:pt idx="2">
                  <c:v>I2 proactive CH handover</c:v>
                </c:pt>
                <c:pt idx="3">
                  <c:v>I3 orphan re-join</c:v>
                </c:pt>
                <c:pt idx="4">
                  <c:v>I4 direct-to-BS</c:v>
                </c:pt>
                <c:pt idx="5">
                  <c:v>I5 energy-gated election</c:v>
                </c:pt>
              </c:strCache>
            </c:strRef>
          </c:cat>
          <c:val>
            <c:numRef>
              <c:f>Ablation!$E$5:$E$10</c:f>
              <c:numCache>
                <c:formatCode>#,##0</c:formatCode>
                <c:ptCount val="6"/>
                <c:pt idx="0">
                  <c:v>2566</c:v>
                </c:pt>
                <c:pt idx="1">
                  <c:v>2581</c:v>
                </c:pt>
                <c:pt idx="2">
                  <c:v>2581</c:v>
                </c:pt>
                <c:pt idx="3">
                  <c:v>2566</c:v>
                </c:pt>
                <c:pt idx="4">
                  <c:v>1981</c:v>
                </c:pt>
                <c:pt idx="5">
                  <c:v>2551</c:v>
                </c:pt>
              </c:numCache>
            </c:numRef>
          </c:val>
        </c:ser>
        <c:gapWidth val="150"/>
        <c:overlap val="0"/>
        <c:axId val="89937507"/>
        <c:axId val="29399870"/>
      </c:barChart>
      <c:catAx>
        <c:axId val="89937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99870"/>
        <c:crosses val="autoZero"/>
        <c:auto val="1"/>
        <c:lblAlgn val="ctr"/>
        <c:lblOffset val="100"/>
        <c:noMultiLvlLbl val="0"/>
      </c:catAx>
      <c:valAx>
        <c:axId val="29399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37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21</xdr:col>
      <xdr:colOff>354960</xdr:colOff>
      <xdr:row>18</xdr:row>
      <xdr:rowOff>172440</xdr:rowOff>
    </xdr:to>
    <xdr:graphicFrame>
      <xdr:nvGraphicFramePr>
        <xdr:cNvPr id="0" name="Chart 1"/>
        <xdr:cNvGraphicFramePr/>
      </xdr:nvGraphicFramePr>
      <xdr:xfrm>
        <a:off x="11489040" y="5716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21</xdr:col>
      <xdr:colOff>387360</xdr:colOff>
      <xdr:row>18</xdr:row>
      <xdr:rowOff>172440</xdr:rowOff>
    </xdr:to>
    <xdr:graphicFrame>
      <xdr:nvGraphicFramePr>
        <xdr:cNvPr id="1" name="Chart 1"/>
        <xdr:cNvGraphicFramePr/>
      </xdr:nvGraphicFramePr>
      <xdr:xfrm>
        <a:off x="11409120" y="57168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322920</xdr:colOff>
      <xdr:row>18</xdr:row>
      <xdr:rowOff>172440</xdr:rowOff>
    </xdr:to>
    <xdr:graphicFrame>
      <xdr:nvGraphicFramePr>
        <xdr:cNvPr id="2" name="Chart 1"/>
        <xdr:cNvGraphicFramePr/>
      </xdr:nvGraphicFramePr>
      <xdr:xfrm>
        <a:off x="8448840" y="5716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6" customFormat="false" ht="15" hidden="false" customHeight="false" outlineLevel="0" collapsed="false">
      <c r="A16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6" min="3" style="0" width="1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5" t="s">
        <v>15</v>
      </c>
    </row>
    <row r="4" customFormat="false" ht="1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</row>
    <row r="5" customFormat="false" ht="15" hidden="false" customHeight="false" outlineLevel="0" collapsed="false">
      <c r="A5" s="7" t="s">
        <v>22</v>
      </c>
      <c r="B5" s="7" t="s">
        <v>23</v>
      </c>
      <c r="C5" s="8" t="n">
        <v>1121</v>
      </c>
      <c r="D5" s="8" t="n">
        <v>1954</v>
      </c>
      <c r="E5" s="8" t="n">
        <v>3783</v>
      </c>
      <c r="F5" s="9" t="n">
        <v>0.997831</v>
      </c>
    </row>
    <row r="6" customFormat="false" ht="15" hidden="false" customHeight="false" outlineLevel="0" collapsed="false">
      <c r="A6" s="10" t="s">
        <v>22</v>
      </c>
      <c r="B6" s="10" t="s">
        <v>24</v>
      </c>
      <c r="C6" s="11" t="n">
        <v>734</v>
      </c>
      <c r="D6" s="11" t="n">
        <v>1384</v>
      </c>
      <c r="E6" s="11" t="n">
        <v>2259</v>
      </c>
      <c r="F6" s="12" t="n">
        <v>0.997956</v>
      </c>
    </row>
    <row r="7" customFormat="false" ht="15" hidden="false" customHeight="false" outlineLevel="0" collapsed="false">
      <c r="A7" s="7" t="s">
        <v>22</v>
      </c>
      <c r="B7" s="7" t="s">
        <v>25</v>
      </c>
      <c r="C7" s="8" t="n">
        <v>1078</v>
      </c>
      <c r="D7" s="8" t="n">
        <v>1157</v>
      </c>
      <c r="E7" s="8" t="n">
        <v>1207</v>
      </c>
      <c r="F7" s="9" t="n">
        <v>0.950353</v>
      </c>
    </row>
    <row r="8" customFormat="false" ht="15" hidden="false" customHeight="false" outlineLevel="0" collapsed="false">
      <c r="A8" s="10" t="s">
        <v>22</v>
      </c>
      <c r="B8" s="10" t="s">
        <v>26</v>
      </c>
      <c r="C8" s="11" t="n">
        <v>1035</v>
      </c>
      <c r="D8" s="11" t="n">
        <v>1152</v>
      </c>
      <c r="E8" s="11" t="n">
        <v>1327</v>
      </c>
      <c r="F8" s="12" t="n">
        <v>0.986211</v>
      </c>
    </row>
    <row r="9" customFormat="false" ht="15" hidden="false" customHeight="false" outlineLevel="0" collapsed="false">
      <c r="A9" s="7" t="s">
        <v>22</v>
      </c>
      <c r="B9" s="7" t="s">
        <v>27</v>
      </c>
      <c r="C9" s="8" t="n">
        <v>1616</v>
      </c>
      <c r="D9" s="8" t="n">
        <v>2017</v>
      </c>
      <c r="E9" s="8" t="n">
        <v>2186</v>
      </c>
      <c r="F9" s="9" t="n">
        <v>0.988595</v>
      </c>
    </row>
    <row r="10" customFormat="false" ht="15" hidden="false" customHeight="false" outlineLevel="0" collapsed="false">
      <c r="A10" s="10" t="s">
        <v>22</v>
      </c>
      <c r="B10" s="10" t="s">
        <v>28</v>
      </c>
      <c r="C10" s="11" t="n">
        <v>484</v>
      </c>
      <c r="D10" s="11" t="n">
        <v>583</v>
      </c>
      <c r="E10" s="11" t="n">
        <v>689</v>
      </c>
      <c r="F10" s="12" t="n">
        <v>0.996585</v>
      </c>
    </row>
    <row r="11" customFormat="false" ht="15" hidden="false" customHeight="false" outlineLevel="0" collapsed="false">
      <c r="A11" s="7" t="s">
        <v>29</v>
      </c>
      <c r="B11" s="7" t="s">
        <v>30</v>
      </c>
      <c r="C11" s="8" t="n">
        <v>1277</v>
      </c>
      <c r="D11" s="8" t="n">
        <v>1384</v>
      </c>
      <c r="E11" s="8" t="n">
        <v>1543</v>
      </c>
      <c r="F11" s="9" t="n">
        <v>0.994936</v>
      </c>
    </row>
    <row r="12" customFormat="false" ht="15" hidden="false" customHeight="false" outlineLevel="0" collapsed="false">
      <c r="A12" s="10" t="s">
        <v>29</v>
      </c>
      <c r="B12" s="10" t="s">
        <v>31</v>
      </c>
      <c r="C12" s="11" t="n">
        <v>658</v>
      </c>
      <c r="D12" s="11" t="n">
        <v>1197</v>
      </c>
      <c r="E12" s="11" t="n">
        <v>1875</v>
      </c>
      <c r="F12" s="12" t="n">
        <v>0.996512</v>
      </c>
    </row>
    <row r="13" customFormat="false" ht="15" hidden="false" customHeight="false" outlineLevel="0" collapsed="false">
      <c r="A13" s="7" t="s">
        <v>29</v>
      </c>
      <c r="B13" s="7" t="s">
        <v>32</v>
      </c>
      <c r="C13" s="8" t="n">
        <v>738</v>
      </c>
      <c r="D13" s="8" t="n">
        <v>1157</v>
      </c>
      <c r="E13" s="8" t="n">
        <v>1969</v>
      </c>
      <c r="F13" s="9" t="n">
        <v>0.996732</v>
      </c>
    </row>
    <row r="14" customFormat="false" ht="15" hidden="false" customHeight="false" outlineLevel="0" collapsed="false">
      <c r="A14" s="10" t="s">
        <v>29</v>
      </c>
      <c r="B14" s="10" t="s">
        <v>33</v>
      </c>
      <c r="C14" s="11" t="n">
        <v>1384</v>
      </c>
      <c r="D14" s="11" t="n">
        <v>1419</v>
      </c>
      <c r="E14" s="11" t="n">
        <v>1434</v>
      </c>
      <c r="F14" s="12" t="n">
        <v>0.992968</v>
      </c>
    </row>
    <row r="15" customFormat="false" ht="15" hidden="false" customHeight="false" outlineLevel="0" collapsed="false">
      <c r="A15" s="7" t="s">
        <v>29</v>
      </c>
      <c r="B15" s="7" t="s">
        <v>34</v>
      </c>
      <c r="C15" s="8" t="n">
        <v>1383</v>
      </c>
      <c r="D15" s="8" t="n">
        <v>1586</v>
      </c>
      <c r="E15" s="8" t="n">
        <v>1842</v>
      </c>
      <c r="F15" s="9" t="n">
        <v>0.993952</v>
      </c>
    </row>
    <row r="16" customFormat="false" ht="15" hidden="false" customHeight="false" outlineLevel="0" collapsed="false">
      <c r="A16" s="10" t="s">
        <v>29</v>
      </c>
      <c r="B16" s="10" t="s">
        <v>35</v>
      </c>
      <c r="C16" s="11" t="n">
        <v>1324</v>
      </c>
      <c r="D16" s="11" t="n">
        <v>2352</v>
      </c>
      <c r="E16" s="11" t="n">
        <v>3504</v>
      </c>
      <c r="F16" s="12" t="n">
        <v>0.994186</v>
      </c>
    </row>
    <row r="17" customFormat="false" ht="15" hidden="false" customHeight="false" outlineLevel="0" collapsed="false">
      <c r="A17" s="7" t="s">
        <v>29</v>
      </c>
      <c r="B17" s="7" t="s">
        <v>36</v>
      </c>
      <c r="C17" s="8" t="n">
        <v>647</v>
      </c>
      <c r="D17" s="8" t="n">
        <v>702</v>
      </c>
      <c r="E17" s="8" t="n">
        <v>721</v>
      </c>
      <c r="F17" s="9" t="n">
        <v>0.985844</v>
      </c>
    </row>
    <row r="18" customFormat="false" ht="15" hidden="false" customHeight="false" outlineLevel="0" collapsed="false">
      <c r="A18" s="10" t="s">
        <v>37</v>
      </c>
      <c r="B18" s="10" t="s">
        <v>38</v>
      </c>
      <c r="C18" s="11" t="n">
        <v>1335</v>
      </c>
      <c r="D18" s="11" t="n">
        <v>1384</v>
      </c>
      <c r="E18" s="11" t="n">
        <v>1766</v>
      </c>
      <c r="F18" s="12" t="n">
        <v>0.996207</v>
      </c>
    </row>
    <row r="19" customFormat="false" ht="15" hidden="false" customHeight="false" outlineLevel="0" collapsed="false">
      <c r="A19" s="7" t="s">
        <v>37</v>
      </c>
      <c r="B19" s="7" t="s">
        <v>39</v>
      </c>
      <c r="C19" s="8" t="n">
        <v>1473</v>
      </c>
      <c r="D19" s="8" t="n">
        <v>1509</v>
      </c>
      <c r="E19" s="8" t="n">
        <v>1525</v>
      </c>
      <c r="F19" s="9" t="n">
        <v>0.993617</v>
      </c>
    </row>
    <row r="20" customFormat="false" ht="15" hidden="false" customHeight="false" outlineLevel="0" collapsed="false">
      <c r="A20" s="10" t="s">
        <v>37</v>
      </c>
      <c r="B20" s="10" t="s">
        <v>40</v>
      </c>
      <c r="C20" s="11" t="n">
        <v>1480</v>
      </c>
      <c r="D20" s="11" t="n">
        <v>1542</v>
      </c>
      <c r="E20" s="11" t="n">
        <v>1558</v>
      </c>
      <c r="F20" s="12" t="n">
        <v>0.992063</v>
      </c>
    </row>
    <row r="21" customFormat="false" ht="15" hidden="false" customHeight="false" outlineLevel="0" collapsed="false">
      <c r="A21" s="7" t="s">
        <v>41</v>
      </c>
      <c r="B21" s="7" t="s">
        <v>42</v>
      </c>
      <c r="C21" s="8" t="n">
        <v>320</v>
      </c>
      <c r="D21" s="8" t="n">
        <v>529</v>
      </c>
      <c r="E21" s="8" t="n">
        <v>1218</v>
      </c>
      <c r="F21" s="9" t="n">
        <v>0.997623</v>
      </c>
    </row>
    <row r="22" customFormat="false" ht="15" hidden="false" customHeight="false" outlineLevel="0" collapsed="false">
      <c r="A22" s="10" t="s">
        <v>41</v>
      </c>
      <c r="B22" s="10" t="s">
        <v>43</v>
      </c>
      <c r="C22" s="11" t="n">
        <v>334</v>
      </c>
      <c r="D22" s="11" t="n">
        <v>528</v>
      </c>
      <c r="E22" s="11" t="n">
        <v>1285</v>
      </c>
      <c r="F22" s="12" t="n">
        <v>0.997665</v>
      </c>
    </row>
    <row r="23" customFormat="false" ht="15" hidden="false" customHeight="false" outlineLevel="0" collapsed="false">
      <c r="A23" s="7" t="s">
        <v>41</v>
      </c>
      <c r="B23" s="7" t="s">
        <v>44</v>
      </c>
      <c r="C23" s="8" t="n">
        <v>1645</v>
      </c>
      <c r="D23" s="8" t="n">
        <v>2001</v>
      </c>
      <c r="E23" s="8" t="n">
        <v>2203</v>
      </c>
      <c r="F23" s="9" t="n">
        <v>0.983494</v>
      </c>
    </row>
    <row r="24" customFormat="false" ht="15" hidden="false" customHeight="false" outlineLevel="0" collapsed="false">
      <c r="A24" s="10" t="s">
        <v>41</v>
      </c>
      <c r="B24" s="10" t="s">
        <v>45</v>
      </c>
      <c r="C24" s="11" t="n">
        <v>1513</v>
      </c>
      <c r="D24" s="11" t="n">
        <v>2158</v>
      </c>
      <c r="E24" s="11" t="n">
        <v>2416</v>
      </c>
      <c r="F24" s="12" t="n">
        <v>0.970722</v>
      </c>
    </row>
    <row r="25" customFormat="false" ht="15" hidden="false" customHeight="false" outlineLevel="0" collapsed="false">
      <c r="A25" s="7" t="s">
        <v>41</v>
      </c>
      <c r="B25" s="7" t="s">
        <v>46</v>
      </c>
      <c r="C25" s="8" t="n">
        <v>1513</v>
      </c>
      <c r="D25" s="8" t="n">
        <v>2116</v>
      </c>
      <c r="E25" s="8" t="n">
        <v>2356</v>
      </c>
      <c r="F25" s="9" t="n">
        <v>0.984351</v>
      </c>
    </row>
    <row r="26" customFormat="false" ht="15" hidden="false" customHeight="false" outlineLevel="0" collapsed="false">
      <c r="A26" s="10" t="s">
        <v>41</v>
      </c>
      <c r="B26" s="10" t="s">
        <v>47</v>
      </c>
      <c r="C26" s="11" t="n">
        <v>1645</v>
      </c>
      <c r="D26" s="11" t="n">
        <v>1996</v>
      </c>
      <c r="E26" s="11" t="n">
        <v>2116</v>
      </c>
      <c r="F26" s="12" t="n">
        <v>0.986194</v>
      </c>
    </row>
    <row r="27" customFormat="false" ht="15" hidden="false" customHeight="false" outlineLevel="0" collapsed="false">
      <c r="A27" s="7" t="s">
        <v>41</v>
      </c>
      <c r="B27" s="7" t="s">
        <v>48</v>
      </c>
      <c r="C27" s="8" t="n">
        <v>1540</v>
      </c>
      <c r="D27" s="8" t="n">
        <v>2090</v>
      </c>
      <c r="E27" s="8" t="n">
        <v>2259</v>
      </c>
      <c r="F27" s="9" t="n">
        <v>0.987008</v>
      </c>
    </row>
    <row r="28" customFormat="false" ht="15" hidden="false" customHeight="false" outlineLevel="0" collapsed="false">
      <c r="A28" s="10" t="s">
        <v>41</v>
      </c>
      <c r="B28" s="10" t="s">
        <v>49</v>
      </c>
      <c r="C28" s="11" t="n">
        <v>1645</v>
      </c>
      <c r="D28" s="11" t="n">
        <v>1996</v>
      </c>
      <c r="E28" s="11" t="n">
        <v>2081</v>
      </c>
      <c r="F28" s="12" t="n">
        <v>0.989505</v>
      </c>
    </row>
    <row r="29" customFormat="false" ht="15" hidden="false" customHeight="false" outlineLevel="0" collapsed="false">
      <c r="A29" s="7" t="s">
        <v>41</v>
      </c>
      <c r="B29" s="7" t="s">
        <v>50</v>
      </c>
      <c r="C29" s="8" t="n">
        <v>1521</v>
      </c>
      <c r="D29" s="8" t="n">
        <v>1913</v>
      </c>
      <c r="E29" s="8" t="n">
        <v>2025</v>
      </c>
      <c r="F29" s="9" t="n">
        <v>0.985123</v>
      </c>
    </row>
    <row r="30" customFormat="false" ht="15" hidden="false" customHeight="false" outlineLevel="0" collapsed="false">
      <c r="A30" s="10" t="s">
        <v>41</v>
      </c>
      <c r="B30" s="10" t="s">
        <v>51</v>
      </c>
      <c r="C30" s="11" t="n">
        <v>1481</v>
      </c>
      <c r="D30" s="11" t="n">
        <v>1816</v>
      </c>
      <c r="E30" s="11" t="n">
        <v>1961</v>
      </c>
      <c r="F30" s="12" t="n">
        <v>0.979452</v>
      </c>
    </row>
    <row r="31" customFormat="false" ht="15" hidden="false" customHeight="false" outlineLevel="0" collapsed="false">
      <c r="A31" s="7" t="s">
        <v>41</v>
      </c>
      <c r="B31" s="7" t="s">
        <v>52</v>
      </c>
      <c r="C31" s="8" t="n">
        <v>1466</v>
      </c>
      <c r="D31" s="8" t="n">
        <v>1896</v>
      </c>
      <c r="E31" s="8" t="n">
        <v>2011</v>
      </c>
      <c r="F31" s="9" t="n">
        <v>0.990826</v>
      </c>
    </row>
    <row r="32" customFormat="false" ht="15" hidden="false" customHeight="false" outlineLevel="0" collapsed="false">
      <c r="A32" s="10" t="s">
        <v>41</v>
      </c>
      <c r="B32" s="10" t="s">
        <v>53</v>
      </c>
      <c r="C32" s="11" t="n">
        <v>1431</v>
      </c>
      <c r="D32" s="11" t="n">
        <v>1996</v>
      </c>
      <c r="E32" s="11" t="n">
        <v>2181</v>
      </c>
      <c r="F32" s="12" t="n">
        <v>0.984303</v>
      </c>
    </row>
    <row r="33" customFormat="false" ht="15" hidden="false" customHeight="false" outlineLevel="0" collapsed="false">
      <c r="A33" s="7" t="s">
        <v>41</v>
      </c>
      <c r="B33" s="7" t="s">
        <v>54</v>
      </c>
      <c r="C33" s="8" t="n">
        <v>1521</v>
      </c>
      <c r="D33" s="8" t="n">
        <v>1906</v>
      </c>
      <c r="E33" s="8" t="n">
        <v>2011</v>
      </c>
      <c r="F33" s="9" t="n">
        <v>0.989135</v>
      </c>
    </row>
    <row r="34" customFormat="false" ht="15" hidden="false" customHeight="false" outlineLevel="0" collapsed="false">
      <c r="A34" s="10" t="s">
        <v>41</v>
      </c>
      <c r="B34" s="10" t="s">
        <v>55</v>
      </c>
      <c r="C34" s="11" t="n">
        <v>1481</v>
      </c>
      <c r="D34" s="11" t="n">
        <v>1796</v>
      </c>
      <c r="E34" s="11" t="n">
        <v>1911</v>
      </c>
      <c r="F34" s="12" t="n">
        <v>0.98804</v>
      </c>
    </row>
    <row r="35" customFormat="false" ht="15" hidden="false" customHeight="false" outlineLevel="0" collapsed="false">
      <c r="A35" s="7" t="s">
        <v>41</v>
      </c>
      <c r="B35" s="7" t="s">
        <v>56</v>
      </c>
      <c r="C35" s="8" t="n">
        <v>2446</v>
      </c>
      <c r="D35" s="8" t="n">
        <v>2536</v>
      </c>
      <c r="E35" s="8" t="n">
        <v>2566</v>
      </c>
      <c r="F35" s="9" t="n">
        <v>0.997208</v>
      </c>
    </row>
    <row r="36" customFormat="false" ht="15" hidden="false" customHeight="false" outlineLevel="0" collapsed="false">
      <c r="A36" s="10" t="s">
        <v>41</v>
      </c>
      <c r="B36" s="10" t="s">
        <v>57</v>
      </c>
      <c r="C36" s="11" t="n">
        <v>2446</v>
      </c>
      <c r="D36" s="11" t="n">
        <v>2536</v>
      </c>
      <c r="E36" s="11" t="n">
        <v>2566</v>
      </c>
      <c r="F36" s="12" t="n">
        <v>0.997168</v>
      </c>
    </row>
    <row r="37" customFormat="false" ht="15" hidden="false" customHeight="false" outlineLevel="0" collapsed="false">
      <c r="A37" s="7" t="s">
        <v>41</v>
      </c>
      <c r="B37" s="7" t="s">
        <v>58</v>
      </c>
      <c r="C37" s="8" t="n">
        <v>1626</v>
      </c>
      <c r="D37" s="8" t="n">
        <v>1821</v>
      </c>
      <c r="E37" s="8" t="n">
        <v>1881</v>
      </c>
      <c r="F37" s="9" t="n">
        <v>0.995637</v>
      </c>
    </row>
    <row r="38" customFormat="false" ht="15" hidden="false" customHeight="false" outlineLevel="0" collapsed="false">
      <c r="A38" s="10" t="s">
        <v>41</v>
      </c>
      <c r="B38" s="10" t="s">
        <v>59</v>
      </c>
      <c r="C38" s="11" t="n">
        <v>1406</v>
      </c>
      <c r="D38" s="11" t="n">
        <v>1551</v>
      </c>
      <c r="E38" s="11" t="n">
        <v>1606</v>
      </c>
      <c r="F38" s="12" t="n">
        <v>0.993787</v>
      </c>
    </row>
    <row r="39" customFormat="false" ht="15" hidden="false" customHeight="false" outlineLevel="0" collapsed="false">
      <c r="A39" s="7" t="s">
        <v>60</v>
      </c>
      <c r="B39" s="7" t="s">
        <v>61</v>
      </c>
      <c r="C39" s="8" t="n">
        <v>1540</v>
      </c>
      <c r="D39" s="8" t="n">
        <v>2090</v>
      </c>
      <c r="E39" s="8" t="n">
        <v>2291</v>
      </c>
      <c r="F39" s="9" t="n">
        <v>0.985763</v>
      </c>
    </row>
    <row r="40" customFormat="false" ht="15" hidden="false" customHeight="false" outlineLevel="0" collapsed="false">
      <c r="A40" s="10" t="s">
        <v>62</v>
      </c>
      <c r="B40" s="10" t="s">
        <v>63</v>
      </c>
      <c r="C40" s="11" t="n">
        <v>2451</v>
      </c>
      <c r="D40" s="11" t="n">
        <v>2541</v>
      </c>
      <c r="E40" s="11" t="n">
        <v>2581</v>
      </c>
      <c r="F40" s="12" t="n">
        <v>0.997409</v>
      </c>
    </row>
    <row r="41" customFormat="false" ht="15" hidden="false" customHeight="false" outlineLevel="0" collapsed="false">
      <c r="A41" s="7" t="s">
        <v>62</v>
      </c>
      <c r="B41" s="7" t="s">
        <v>64</v>
      </c>
      <c r="C41" s="8" t="n">
        <v>2430</v>
      </c>
      <c r="D41" s="8" t="n">
        <v>2535</v>
      </c>
      <c r="E41" s="8" t="n">
        <v>2581</v>
      </c>
      <c r="F41" s="9" t="n">
        <v>0.996309</v>
      </c>
    </row>
    <row r="42" customFormat="false" ht="15" hidden="false" customHeight="false" outlineLevel="0" collapsed="false">
      <c r="A42" s="10" t="s">
        <v>62</v>
      </c>
      <c r="B42" s="10" t="s">
        <v>65</v>
      </c>
      <c r="C42" s="11" t="n">
        <v>2446</v>
      </c>
      <c r="D42" s="11" t="n">
        <v>2536</v>
      </c>
      <c r="E42" s="11" t="n">
        <v>2566</v>
      </c>
      <c r="F42" s="12" t="n">
        <v>0.997105</v>
      </c>
    </row>
    <row r="43" customFormat="false" ht="15" hidden="false" customHeight="false" outlineLevel="0" collapsed="false">
      <c r="A43" s="7" t="s">
        <v>62</v>
      </c>
      <c r="B43" s="7" t="s">
        <v>66</v>
      </c>
      <c r="C43" s="8" t="n">
        <v>1766</v>
      </c>
      <c r="D43" s="8" t="n">
        <v>1916</v>
      </c>
      <c r="E43" s="8" t="n">
        <v>1981</v>
      </c>
      <c r="F43" s="9" t="n">
        <v>0.995359</v>
      </c>
    </row>
    <row r="44" customFormat="false" ht="15" hidden="false" customHeight="false" outlineLevel="0" collapsed="false">
      <c r="A44" s="10" t="s">
        <v>62</v>
      </c>
      <c r="B44" s="10" t="s">
        <v>67</v>
      </c>
      <c r="C44" s="11" t="n">
        <v>2171</v>
      </c>
      <c r="D44" s="11" t="n">
        <v>2481</v>
      </c>
      <c r="E44" s="11" t="n">
        <v>2551</v>
      </c>
      <c r="F44" s="12" t="n">
        <v>0.997721</v>
      </c>
    </row>
    <row r="45" customFormat="false" ht="15" hidden="false" customHeight="false" outlineLevel="0" collapsed="false">
      <c r="A45" s="7" t="s">
        <v>68</v>
      </c>
      <c r="B45" s="7" t="s">
        <v>69</v>
      </c>
      <c r="C45" s="8" t="n">
        <v>2446</v>
      </c>
      <c r="D45" s="8" t="n">
        <v>2536</v>
      </c>
      <c r="E45" s="8" t="n">
        <v>2566</v>
      </c>
      <c r="F45" s="9" t="n">
        <v>0.997208</v>
      </c>
    </row>
    <row r="46" customFormat="false" ht="15" hidden="false" customHeight="false" outlineLevel="0" collapsed="false">
      <c r="A46" s="10" t="s">
        <v>68</v>
      </c>
      <c r="B46" s="10" t="s">
        <v>70</v>
      </c>
      <c r="C46" s="11" t="n">
        <v>2381</v>
      </c>
      <c r="D46" s="11" t="n">
        <v>2486</v>
      </c>
      <c r="E46" s="11" t="n">
        <v>2521</v>
      </c>
      <c r="F46" s="12" t="n">
        <v>0.996779</v>
      </c>
    </row>
    <row r="47" customFormat="false" ht="15" hidden="false" customHeight="false" outlineLevel="0" collapsed="false">
      <c r="A47" s="7" t="s">
        <v>68</v>
      </c>
      <c r="B47" s="7" t="s">
        <v>71</v>
      </c>
      <c r="C47" s="8" t="n">
        <v>2446</v>
      </c>
      <c r="D47" s="8" t="n">
        <v>2536</v>
      </c>
      <c r="E47" s="8" t="n">
        <v>2566</v>
      </c>
      <c r="F47" s="9" t="n">
        <v>0.997168</v>
      </c>
    </row>
    <row r="48" customFormat="false" ht="15" hidden="false" customHeight="false" outlineLevel="0" collapsed="false">
      <c r="A48" s="10" t="s">
        <v>68</v>
      </c>
      <c r="B48" s="10" t="s">
        <v>72</v>
      </c>
      <c r="C48" s="11" t="n">
        <v>1406</v>
      </c>
      <c r="D48" s="11" t="n">
        <v>1551</v>
      </c>
      <c r="E48" s="11" t="n">
        <v>1606</v>
      </c>
      <c r="F48" s="12" t="n">
        <v>0.993787</v>
      </c>
    </row>
    <row r="49" customFormat="false" ht="15" hidden="false" customHeight="false" outlineLevel="0" collapsed="false">
      <c r="A49" s="7" t="s">
        <v>68</v>
      </c>
      <c r="B49" s="7" t="s">
        <v>73</v>
      </c>
      <c r="C49" s="8" t="n">
        <v>1586</v>
      </c>
      <c r="D49" s="8" t="n">
        <v>1801</v>
      </c>
      <c r="E49" s="8" t="n">
        <v>1866</v>
      </c>
      <c r="F49" s="9" t="n">
        <v>0.995802</v>
      </c>
    </row>
    <row r="50" customFormat="false" ht="15" hidden="false" customHeight="false" outlineLevel="0" collapsed="false">
      <c r="A50" s="10" t="s">
        <v>68</v>
      </c>
      <c r="B50" s="10" t="s">
        <v>74</v>
      </c>
      <c r="C50" s="11" t="n">
        <v>1626</v>
      </c>
      <c r="D50" s="11" t="n">
        <v>1821</v>
      </c>
      <c r="E50" s="11" t="n">
        <v>1881</v>
      </c>
      <c r="F50" s="12" t="n">
        <v>0.995637</v>
      </c>
    </row>
    <row r="51" customFormat="false" ht="15" hidden="false" customHeight="false" outlineLevel="0" collapsed="false">
      <c r="A51" s="7" t="s">
        <v>75</v>
      </c>
      <c r="B51" s="7" t="s">
        <v>76</v>
      </c>
      <c r="C51" s="8" t="n">
        <v>1743</v>
      </c>
      <c r="D51" s="8" t="n">
        <v>2031</v>
      </c>
      <c r="E51" s="8" t="n">
        <v>2121</v>
      </c>
      <c r="F51" s="9" t="n">
        <v>0.986778</v>
      </c>
    </row>
    <row r="52" customFormat="false" ht="15" hidden="false" customHeight="false" outlineLevel="0" collapsed="false">
      <c r="A52" s="10" t="s">
        <v>75</v>
      </c>
      <c r="B52" s="10" t="s">
        <v>77</v>
      </c>
      <c r="C52" s="11" t="n">
        <v>1645</v>
      </c>
      <c r="D52" s="11" t="n">
        <v>1996</v>
      </c>
      <c r="E52" s="11" t="n">
        <v>2116</v>
      </c>
      <c r="F52" s="12" t="n">
        <v>0.986194</v>
      </c>
    </row>
    <row r="53" customFormat="false" ht="15" hidden="false" customHeight="false" outlineLevel="0" collapsed="false">
      <c r="A53" s="7" t="s">
        <v>75</v>
      </c>
      <c r="B53" s="7" t="s">
        <v>78</v>
      </c>
      <c r="C53" s="8" t="n">
        <v>1606</v>
      </c>
      <c r="D53" s="8" t="n">
        <v>2011</v>
      </c>
      <c r="E53" s="8" t="n">
        <v>2116</v>
      </c>
      <c r="F53" s="9" t="n">
        <v>0.98646</v>
      </c>
    </row>
    <row r="54" customFormat="false" ht="15" hidden="false" customHeight="false" outlineLevel="0" collapsed="false">
      <c r="A54" s="10" t="s">
        <v>75</v>
      </c>
      <c r="B54" s="10" t="s">
        <v>79</v>
      </c>
      <c r="C54" s="11" t="n">
        <v>1410</v>
      </c>
      <c r="D54" s="11" t="n">
        <v>2041</v>
      </c>
      <c r="E54" s="11" t="n">
        <v>2141</v>
      </c>
      <c r="F54" s="12" t="n">
        <v>0.987119</v>
      </c>
    </row>
    <row r="55" customFormat="false" ht="15" hidden="false" customHeight="false" outlineLevel="0" collapsed="false">
      <c r="A55" s="7" t="s">
        <v>75</v>
      </c>
      <c r="B55" s="7" t="s">
        <v>80</v>
      </c>
      <c r="C55" s="8" t="n">
        <v>1551</v>
      </c>
      <c r="D55" s="8" t="n">
        <v>2051</v>
      </c>
      <c r="E55" s="8" t="n">
        <v>2401</v>
      </c>
      <c r="F55" s="9" t="n">
        <v>0.982669</v>
      </c>
    </row>
    <row r="56" customFormat="false" ht="15" hidden="false" customHeight="false" outlineLevel="0" collapsed="false">
      <c r="A56" s="10" t="s">
        <v>75</v>
      </c>
      <c r="B56" s="10" t="s">
        <v>81</v>
      </c>
      <c r="C56" s="11" t="n">
        <v>1486</v>
      </c>
      <c r="D56" s="11" t="n">
        <v>2041</v>
      </c>
      <c r="E56" s="11" t="n">
        <v>2502</v>
      </c>
      <c r="F56" s="12" t="n">
        <v>0.982345</v>
      </c>
    </row>
    <row r="57" customFormat="false" ht="15" hidden="false" customHeight="false" outlineLevel="0" collapsed="false">
      <c r="A57" s="7" t="s">
        <v>75</v>
      </c>
      <c r="B57" s="7" t="s">
        <v>82</v>
      </c>
      <c r="C57" s="8" t="n">
        <v>1725</v>
      </c>
      <c r="D57" s="8" t="n">
        <v>2066</v>
      </c>
      <c r="E57" s="8" t="n">
        <v>2303</v>
      </c>
      <c r="F57" s="9" t="n">
        <v>0.976919</v>
      </c>
    </row>
    <row r="58" customFormat="false" ht="15" hidden="false" customHeight="false" outlineLevel="0" collapsed="false">
      <c r="A58" s="10" t="s">
        <v>75</v>
      </c>
      <c r="B58" s="10" t="s">
        <v>83</v>
      </c>
      <c r="C58" s="11" t="n">
        <v>1681</v>
      </c>
      <c r="D58" s="11" t="n">
        <v>2051</v>
      </c>
      <c r="E58" s="11" t="n">
        <v>2201</v>
      </c>
      <c r="F58" s="12" t="n">
        <v>0.981511</v>
      </c>
    </row>
    <row r="59" customFormat="false" ht="15" hidden="false" customHeight="false" outlineLevel="0" collapsed="false">
      <c r="A59" s="7" t="s">
        <v>75</v>
      </c>
      <c r="B59" s="7" t="s">
        <v>84</v>
      </c>
      <c r="C59" s="8" t="n">
        <v>2481</v>
      </c>
      <c r="D59" s="8" t="n">
        <v>2551</v>
      </c>
      <c r="E59" s="8" t="n">
        <v>2596</v>
      </c>
      <c r="F59" s="9" t="n">
        <v>0.99752</v>
      </c>
    </row>
    <row r="60" customFormat="false" ht="15" hidden="false" customHeight="false" outlineLevel="0" collapsed="false">
      <c r="A60" s="10" t="s">
        <v>75</v>
      </c>
      <c r="B60" s="10" t="s">
        <v>85</v>
      </c>
      <c r="C60" s="11" t="n">
        <v>2446</v>
      </c>
      <c r="D60" s="11" t="n">
        <v>2536</v>
      </c>
      <c r="E60" s="11" t="n">
        <v>2566</v>
      </c>
      <c r="F60" s="12" t="n">
        <v>0.997208</v>
      </c>
    </row>
    <row r="61" customFormat="false" ht="15" hidden="false" customHeight="false" outlineLevel="0" collapsed="false">
      <c r="A61" s="7" t="s">
        <v>75</v>
      </c>
      <c r="B61" s="7" t="s">
        <v>86</v>
      </c>
      <c r="C61" s="8" t="n">
        <v>2401</v>
      </c>
      <c r="D61" s="8" t="n">
        <v>2507</v>
      </c>
      <c r="E61" s="8" t="n">
        <v>2541</v>
      </c>
      <c r="F61" s="9" t="n">
        <v>0.997033</v>
      </c>
    </row>
    <row r="62" customFormat="false" ht="15" hidden="false" customHeight="false" outlineLevel="0" collapsed="false">
      <c r="A62" s="10" t="s">
        <v>75</v>
      </c>
      <c r="B62" s="10" t="s">
        <v>87</v>
      </c>
      <c r="C62" s="11" t="n">
        <v>2466</v>
      </c>
      <c r="D62" s="11" t="n">
        <v>2567</v>
      </c>
      <c r="E62" s="11" t="n">
        <v>2611</v>
      </c>
      <c r="F62" s="12" t="n">
        <v>0.997024</v>
      </c>
    </row>
    <row r="63" customFormat="false" ht="15" hidden="false" customHeight="false" outlineLevel="0" collapsed="false">
      <c r="A63" s="7" t="s">
        <v>75</v>
      </c>
      <c r="B63" s="7" t="s">
        <v>88</v>
      </c>
      <c r="C63" s="8" t="n">
        <v>2416</v>
      </c>
      <c r="D63" s="8" t="n">
        <v>2546</v>
      </c>
      <c r="E63" s="8" t="n">
        <v>2581</v>
      </c>
      <c r="F63" s="9" t="n">
        <v>0.997119</v>
      </c>
    </row>
    <row r="64" customFormat="false" ht="15" hidden="false" customHeight="false" outlineLevel="0" collapsed="false">
      <c r="A64" s="10" t="s">
        <v>75</v>
      </c>
      <c r="B64" s="10" t="s">
        <v>89</v>
      </c>
      <c r="C64" s="11" t="n">
        <v>2451</v>
      </c>
      <c r="D64" s="11" t="n">
        <v>2526</v>
      </c>
      <c r="E64" s="11" t="n">
        <v>2561</v>
      </c>
      <c r="F64" s="12" t="n">
        <v>0.997042</v>
      </c>
    </row>
    <row r="65" customFormat="false" ht="15" hidden="false" customHeight="false" outlineLevel="0" collapsed="false">
      <c r="A65" s="7" t="s">
        <v>75</v>
      </c>
      <c r="B65" s="7" t="s">
        <v>90</v>
      </c>
      <c r="C65" s="8" t="n">
        <v>2476</v>
      </c>
      <c r="D65" s="8" t="n">
        <v>2581</v>
      </c>
      <c r="E65" s="8" t="n">
        <v>2621</v>
      </c>
      <c r="F65" s="9" t="n">
        <v>0.997118</v>
      </c>
    </row>
    <row r="66" customFormat="false" ht="15" hidden="false" customHeight="false" outlineLevel="0" collapsed="false">
      <c r="A66" s="10" t="s">
        <v>75</v>
      </c>
      <c r="B66" s="10" t="s">
        <v>91</v>
      </c>
      <c r="C66" s="11" t="n">
        <v>2446</v>
      </c>
      <c r="D66" s="11" t="n">
        <v>2541</v>
      </c>
      <c r="E66" s="11" t="n">
        <v>2571</v>
      </c>
      <c r="F66" s="12" t="n">
        <v>0.996922</v>
      </c>
    </row>
    <row r="67" customFormat="false" ht="15" hidden="false" customHeight="false" outlineLevel="0" collapsed="false">
      <c r="A67" s="7" t="s">
        <v>75</v>
      </c>
      <c r="B67" s="7" t="s">
        <v>92</v>
      </c>
      <c r="C67" s="8" t="n">
        <v>2481</v>
      </c>
      <c r="D67" s="8" t="n">
        <v>2551</v>
      </c>
      <c r="E67" s="8" t="n">
        <v>2596</v>
      </c>
      <c r="F67" s="9" t="n">
        <v>0.997438</v>
      </c>
    </row>
    <row r="68" customFormat="false" ht="15" hidden="false" customHeight="false" outlineLevel="0" collapsed="false">
      <c r="A68" s="10" t="s">
        <v>75</v>
      </c>
      <c r="B68" s="10" t="s">
        <v>93</v>
      </c>
      <c r="C68" s="11" t="n">
        <v>2446</v>
      </c>
      <c r="D68" s="11" t="n">
        <v>2536</v>
      </c>
      <c r="E68" s="11" t="n">
        <v>2566</v>
      </c>
      <c r="F68" s="12" t="n">
        <v>0.997168</v>
      </c>
    </row>
    <row r="69" customFormat="false" ht="15" hidden="false" customHeight="false" outlineLevel="0" collapsed="false">
      <c r="A69" s="7" t="s">
        <v>75</v>
      </c>
      <c r="B69" s="7" t="s">
        <v>94</v>
      </c>
      <c r="C69" s="8" t="n">
        <v>2401</v>
      </c>
      <c r="D69" s="8" t="n">
        <v>2507</v>
      </c>
      <c r="E69" s="8" t="n">
        <v>2541</v>
      </c>
      <c r="F69" s="9" t="n">
        <v>0.997081</v>
      </c>
    </row>
    <row r="70" customFormat="false" ht="15" hidden="false" customHeight="false" outlineLevel="0" collapsed="false">
      <c r="A70" s="10" t="s">
        <v>75</v>
      </c>
      <c r="B70" s="10" t="s">
        <v>95</v>
      </c>
      <c r="C70" s="11" t="n">
        <v>2466</v>
      </c>
      <c r="D70" s="11" t="n">
        <v>2567</v>
      </c>
      <c r="E70" s="11" t="n">
        <v>2611</v>
      </c>
      <c r="F70" s="12" t="n">
        <v>0.997048</v>
      </c>
    </row>
    <row r="71" customFormat="false" ht="15" hidden="false" customHeight="false" outlineLevel="0" collapsed="false">
      <c r="A71" s="7" t="s">
        <v>75</v>
      </c>
      <c r="B71" s="7" t="s">
        <v>96</v>
      </c>
      <c r="C71" s="8" t="n">
        <v>2416</v>
      </c>
      <c r="D71" s="8" t="n">
        <v>2546</v>
      </c>
      <c r="E71" s="8" t="n">
        <v>2581</v>
      </c>
      <c r="F71" s="9" t="n">
        <v>0.99721</v>
      </c>
    </row>
    <row r="72" customFormat="false" ht="15" hidden="false" customHeight="false" outlineLevel="0" collapsed="false">
      <c r="A72" s="10" t="s">
        <v>75</v>
      </c>
      <c r="B72" s="10" t="s">
        <v>97</v>
      </c>
      <c r="C72" s="11" t="n">
        <v>2451</v>
      </c>
      <c r="D72" s="11" t="n">
        <v>2526</v>
      </c>
      <c r="E72" s="11" t="n">
        <v>2566</v>
      </c>
      <c r="F72" s="12" t="n">
        <v>0.996856</v>
      </c>
    </row>
    <row r="73" customFormat="false" ht="15" hidden="false" customHeight="false" outlineLevel="0" collapsed="false">
      <c r="A73" s="7" t="s">
        <v>75</v>
      </c>
      <c r="B73" s="7" t="s">
        <v>98</v>
      </c>
      <c r="C73" s="8" t="n">
        <v>2476</v>
      </c>
      <c r="D73" s="8" t="n">
        <v>2581</v>
      </c>
      <c r="E73" s="8" t="n">
        <v>2621</v>
      </c>
      <c r="F73" s="9" t="n">
        <v>0.996897</v>
      </c>
    </row>
    <row r="74" customFormat="false" ht="15" hidden="false" customHeight="false" outlineLevel="0" collapsed="false">
      <c r="A74" s="10" t="s">
        <v>75</v>
      </c>
      <c r="B74" s="10" t="s">
        <v>99</v>
      </c>
      <c r="C74" s="11" t="n">
        <v>2446</v>
      </c>
      <c r="D74" s="11" t="n">
        <v>2541</v>
      </c>
      <c r="E74" s="11" t="n">
        <v>2571</v>
      </c>
      <c r="F74" s="12" t="n">
        <v>0.997079</v>
      </c>
    </row>
    <row r="75" customFormat="false" ht="15" hidden="false" customHeight="false" outlineLevel="0" collapsed="false">
      <c r="A75" s="7" t="s">
        <v>75</v>
      </c>
      <c r="B75" s="7" t="s">
        <v>100</v>
      </c>
      <c r="C75" s="8" t="n">
        <v>1636</v>
      </c>
      <c r="D75" s="8" t="n">
        <v>1866</v>
      </c>
      <c r="E75" s="8" t="n">
        <v>1911</v>
      </c>
      <c r="F75" s="9" t="n">
        <v>0.994081</v>
      </c>
    </row>
    <row r="76" customFormat="false" ht="15" hidden="false" customHeight="false" outlineLevel="0" collapsed="false">
      <c r="A76" s="10" t="s">
        <v>75</v>
      </c>
      <c r="B76" s="10" t="s">
        <v>101</v>
      </c>
      <c r="C76" s="11" t="n">
        <v>1626</v>
      </c>
      <c r="D76" s="11" t="n">
        <v>1821</v>
      </c>
      <c r="E76" s="11" t="n">
        <v>1881</v>
      </c>
      <c r="F76" s="12" t="n">
        <v>0.995637</v>
      </c>
    </row>
    <row r="77" customFormat="false" ht="15" hidden="false" customHeight="false" outlineLevel="0" collapsed="false">
      <c r="A77" s="7" t="s">
        <v>75</v>
      </c>
      <c r="B77" s="7" t="s">
        <v>102</v>
      </c>
      <c r="C77" s="8" t="n">
        <v>1596</v>
      </c>
      <c r="D77" s="8" t="n">
        <v>1826</v>
      </c>
      <c r="E77" s="8" t="n">
        <v>1876</v>
      </c>
      <c r="F77" s="9" t="n">
        <v>0.995765</v>
      </c>
    </row>
    <row r="78" customFormat="false" ht="15" hidden="false" customHeight="false" outlineLevel="0" collapsed="false">
      <c r="A78" s="10" t="s">
        <v>75</v>
      </c>
      <c r="B78" s="10" t="s">
        <v>103</v>
      </c>
      <c r="C78" s="11" t="n">
        <v>1681</v>
      </c>
      <c r="D78" s="11" t="n">
        <v>1861</v>
      </c>
      <c r="E78" s="11" t="n">
        <v>1901</v>
      </c>
      <c r="F78" s="12" t="n">
        <v>0.992752</v>
      </c>
    </row>
    <row r="79" customFormat="false" ht="15" hidden="false" customHeight="false" outlineLevel="0" collapsed="false">
      <c r="A79" s="7" t="s">
        <v>75</v>
      </c>
      <c r="B79" s="7" t="s">
        <v>104</v>
      </c>
      <c r="C79" s="8" t="n">
        <v>1681</v>
      </c>
      <c r="D79" s="8" t="n">
        <v>1871</v>
      </c>
      <c r="E79" s="8" t="n">
        <v>1921</v>
      </c>
      <c r="F79" s="9" t="n">
        <v>0.993602</v>
      </c>
    </row>
    <row r="80" customFormat="false" ht="15" hidden="false" customHeight="false" outlineLevel="0" collapsed="false">
      <c r="A80" s="10" t="s">
        <v>75</v>
      </c>
      <c r="B80" s="10" t="s">
        <v>105</v>
      </c>
      <c r="C80" s="11" t="n">
        <v>1671</v>
      </c>
      <c r="D80" s="11" t="n">
        <v>1831</v>
      </c>
      <c r="E80" s="11" t="n">
        <v>1876</v>
      </c>
      <c r="F80" s="12" t="n">
        <v>0.995833</v>
      </c>
    </row>
    <row r="81" customFormat="false" ht="15" hidden="false" customHeight="false" outlineLevel="0" collapsed="false">
      <c r="A81" s="7" t="s">
        <v>75</v>
      </c>
      <c r="B81" s="7" t="s">
        <v>106</v>
      </c>
      <c r="C81" s="8" t="n">
        <v>1646</v>
      </c>
      <c r="D81" s="8" t="n">
        <v>1871</v>
      </c>
      <c r="E81" s="8" t="n">
        <v>1916</v>
      </c>
      <c r="F81" s="9" t="n">
        <v>0.994856</v>
      </c>
    </row>
    <row r="82" customFormat="false" ht="15" hidden="false" customHeight="false" outlineLevel="0" collapsed="false">
      <c r="A82" s="10" t="s">
        <v>75</v>
      </c>
      <c r="B82" s="10" t="s">
        <v>107</v>
      </c>
      <c r="C82" s="11" t="n">
        <v>1676</v>
      </c>
      <c r="D82" s="11" t="n">
        <v>1851</v>
      </c>
      <c r="E82" s="11" t="n">
        <v>1901</v>
      </c>
      <c r="F82" s="12" t="n">
        <v>0.994335</v>
      </c>
    </row>
    <row r="83" customFormat="false" ht="15" hidden="false" customHeight="false" outlineLevel="0" collapsed="false">
      <c r="A83" s="7" t="s">
        <v>75</v>
      </c>
      <c r="B83" s="7" t="s">
        <v>108</v>
      </c>
      <c r="C83" s="8" t="n">
        <v>1386</v>
      </c>
      <c r="D83" s="8" t="n">
        <v>1636</v>
      </c>
      <c r="E83" s="8" t="n">
        <v>1671</v>
      </c>
      <c r="F83" s="9" t="n">
        <v>0.993522</v>
      </c>
    </row>
    <row r="84" customFormat="false" ht="15" hidden="false" customHeight="false" outlineLevel="0" collapsed="false">
      <c r="A84" s="10" t="s">
        <v>75</v>
      </c>
      <c r="B84" s="10" t="s">
        <v>109</v>
      </c>
      <c r="C84" s="11" t="n">
        <v>1406</v>
      </c>
      <c r="D84" s="11" t="n">
        <v>1551</v>
      </c>
      <c r="E84" s="11" t="n">
        <v>1606</v>
      </c>
      <c r="F84" s="12" t="n">
        <v>0.993787</v>
      </c>
    </row>
    <row r="85" customFormat="false" ht="15" hidden="false" customHeight="false" outlineLevel="0" collapsed="false">
      <c r="A85" s="7" t="s">
        <v>75</v>
      </c>
      <c r="B85" s="7" t="s">
        <v>110</v>
      </c>
      <c r="C85" s="8" t="n">
        <v>1346</v>
      </c>
      <c r="D85" s="8" t="n">
        <v>1571</v>
      </c>
      <c r="E85" s="8" t="n">
        <v>1631</v>
      </c>
      <c r="F85" s="9" t="n">
        <v>0.994742</v>
      </c>
    </row>
    <row r="86" customFormat="false" ht="15" hidden="false" customHeight="false" outlineLevel="0" collapsed="false">
      <c r="A86" s="10" t="s">
        <v>75</v>
      </c>
      <c r="B86" s="10" t="s">
        <v>111</v>
      </c>
      <c r="C86" s="11" t="n">
        <v>1436</v>
      </c>
      <c r="D86" s="11" t="n">
        <v>1626</v>
      </c>
      <c r="E86" s="11" t="n">
        <v>1676</v>
      </c>
      <c r="F86" s="12" t="n">
        <v>0.992915</v>
      </c>
    </row>
    <row r="87" customFormat="false" ht="15" hidden="false" customHeight="false" outlineLevel="0" collapsed="false">
      <c r="A87" s="7" t="s">
        <v>75</v>
      </c>
      <c r="B87" s="7" t="s">
        <v>112</v>
      </c>
      <c r="C87" s="8" t="n">
        <v>1436</v>
      </c>
      <c r="D87" s="8" t="n">
        <v>1631</v>
      </c>
      <c r="E87" s="8" t="n">
        <v>1666</v>
      </c>
      <c r="F87" s="9" t="n">
        <v>0.993628</v>
      </c>
    </row>
    <row r="88" customFormat="false" ht="15" hidden="false" customHeight="false" outlineLevel="0" collapsed="false">
      <c r="A88" s="10" t="s">
        <v>75</v>
      </c>
      <c r="B88" s="10" t="s">
        <v>113</v>
      </c>
      <c r="C88" s="11" t="n">
        <v>1396</v>
      </c>
      <c r="D88" s="11" t="n">
        <v>1566</v>
      </c>
      <c r="E88" s="11" t="n">
        <v>1616</v>
      </c>
      <c r="F88" s="12" t="n">
        <v>0.993724</v>
      </c>
    </row>
    <row r="89" customFormat="false" ht="15" hidden="false" customHeight="false" outlineLevel="0" collapsed="false">
      <c r="A89" s="7" t="s">
        <v>75</v>
      </c>
      <c r="B89" s="7" t="s">
        <v>114</v>
      </c>
      <c r="C89" s="8" t="n">
        <v>1476</v>
      </c>
      <c r="D89" s="8" t="n">
        <v>1621</v>
      </c>
      <c r="E89" s="8" t="n">
        <v>1671</v>
      </c>
      <c r="F89" s="9" t="n">
        <v>0.994442</v>
      </c>
    </row>
    <row r="90" customFormat="false" ht="15" hidden="false" customHeight="false" outlineLevel="0" collapsed="false">
      <c r="A90" s="10" t="s">
        <v>75</v>
      </c>
      <c r="B90" s="10" t="s">
        <v>115</v>
      </c>
      <c r="C90" s="11" t="n">
        <v>1416</v>
      </c>
      <c r="D90" s="11" t="n">
        <v>1626</v>
      </c>
      <c r="E90" s="11" t="n">
        <v>1666</v>
      </c>
      <c r="F90" s="12" t="n">
        <v>0.993002</v>
      </c>
    </row>
    <row r="91" customFormat="false" ht="15" hidden="false" customHeight="false" outlineLevel="0" collapsed="false">
      <c r="A91" s="7" t="s">
        <v>116</v>
      </c>
      <c r="B91" s="7" t="s">
        <v>117</v>
      </c>
      <c r="C91" s="8" t="n">
        <v>2061</v>
      </c>
      <c r="D91" s="8" t="n">
        <v>2141</v>
      </c>
      <c r="E91" s="8" t="n">
        <v>2176</v>
      </c>
      <c r="F91" s="9" t="n">
        <v>0.997941</v>
      </c>
    </row>
    <row r="92" customFormat="false" ht="15" hidden="false" customHeight="false" outlineLevel="0" collapsed="false">
      <c r="A92" s="10" t="s">
        <v>116</v>
      </c>
      <c r="B92" s="10" t="s">
        <v>118</v>
      </c>
      <c r="C92" s="11" t="n">
        <v>1971</v>
      </c>
      <c r="D92" s="11" t="n">
        <v>2062</v>
      </c>
      <c r="E92" s="11" t="n">
        <v>2091</v>
      </c>
      <c r="F92" s="12" t="n">
        <v>0.997036</v>
      </c>
    </row>
    <row r="93" customFormat="false" ht="15" hidden="false" customHeight="false" outlineLevel="0" collapsed="false">
      <c r="A93" s="7" t="s">
        <v>116</v>
      </c>
      <c r="B93" s="7" t="s">
        <v>119</v>
      </c>
      <c r="C93" s="8" t="n">
        <v>1336</v>
      </c>
      <c r="D93" s="8" t="n">
        <v>1506</v>
      </c>
      <c r="E93" s="8" t="n">
        <v>1546</v>
      </c>
      <c r="F93" s="9" t="n">
        <v>0.99502</v>
      </c>
    </row>
    <row r="94" customFormat="false" ht="15" hidden="false" customHeight="false" outlineLevel="0" collapsed="false">
      <c r="A94" s="10" t="s">
        <v>116</v>
      </c>
      <c r="B94" s="10" t="s">
        <v>120</v>
      </c>
      <c r="C94" s="11" t="n">
        <v>1361</v>
      </c>
      <c r="D94" s="11" t="n">
        <v>1566</v>
      </c>
      <c r="E94" s="11" t="n">
        <v>1616</v>
      </c>
      <c r="F94" s="12" t="n">
        <v>0.99394</v>
      </c>
    </row>
    <row r="95" customFormat="false" ht="15" hidden="false" customHeight="false" outlineLevel="0" collapsed="false">
      <c r="A95" s="7" t="s">
        <v>116</v>
      </c>
      <c r="B95" s="7" t="s">
        <v>121</v>
      </c>
      <c r="C95" s="8" t="n">
        <v>2246</v>
      </c>
      <c r="D95" s="8" t="n">
        <v>2321</v>
      </c>
      <c r="E95" s="8" t="n">
        <v>2351</v>
      </c>
      <c r="F95" s="9" t="n">
        <v>0.997584</v>
      </c>
    </row>
    <row r="96" customFormat="false" ht="15" hidden="false" customHeight="false" outlineLevel="0" collapsed="false">
      <c r="A96" s="10" t="s">
        <v>116</v>
      </c>
      <c r="B96" s="10" t="s">
        <v>122</v>
      </c>
      <c r="C96" s="11" t="n">
        <v>2156</v>
      </c>
      <c r="D96" s="11" t="n">
        <v>2231</v>
      </c>
      <c r="E96" s="11" t="n">
        <v>2261</v>
      </c>
      <c r="F96" s="12" t="n">
        <v>0.997196</v>
      </c>
    </row>
    <row r="97" customFormat="false" ht="15" hidden="false" customHeight="false" outlineLevel="0" collapsed="false">
      <c r="A97" s="7" t="s">
        <v>116</v>
      </c>
      <c r="B97" s="7" t="s">
        <v>123</v>
      </c>
      <c r="C97" s="8" t="n">
        <v>1426</v>
      </c>
      <c r="D97" s="8" t="n">
        <v>1611</v>
      </c>
      <c r="E97" s="8" t="n">
        <v>1661</v>
      </c>
      <c r="F97" s="9" t="n">
        <v>0.995774</v>
      </c>
    </row>
    <row r="98" customFormat="false" ht="15" hidden="false" customHeight="false" outlineLevel="0" collapsed="false">
      <c r="A98" s="10" t="s">
        <v>116</v>
      </c>
      <c r="B98" s="10" t="s">
        <v>124</v>
      </c>
      <c r="C98" s="11" t="n">
        <v>1491</v>
      </c>
      <c r="D98" s="11" t="n">
        <v>1686</v>
      </c>
      <c r="E98" s="11" t="n">
        <v>1721</v>
      </c>
      <c r="F98" s="12" t="n">
        <v>0.99558</v>
      </c>
    </row>
    <row r="99" customFormat="false" ht="15" hidden="false" customHeight="false" outlineLevel="0" collapsed="false">
      <c r="A99" s="7" t="s">
        <v>116</v>
      </c>
      <c r="B99" s="7" t="s">
        <v>125</v>
      </c>
      <c r="C99" s="8" t="n">
        <v>2446</v>
      </c>
      <c r="D99" s="8" t="n">
        <v>2536</v>
      </c>
      <c r="E99" s="8" t="n">
        <v>2566</v>
      </c>
      <c r="F99" s="9" t="n">
        <v>0.997168</v>
      </c>
    </row>
    <row r="100" customFormat="false" ht="15" hidden="false" customHeight="false" outlineLevel="0" collapsed="false">
      <c r="A100" s="10" t="s">
        <v>116</v>
      </c>
      <c r="B100" s="10" t="s">
        <v>126</v>
      </c>
      <c r="C100" s="11" t="n">
        <v>1626</v>
      </c>
      <c r="D100" s="11" t="n">
        <v>1821</v>
      </c>
      <c r="E100" s="11" t="n">
        <v>1881</v>
      </c>
      <c r="F100" s="12" t="n">
        <v>0.995637</v>
      </c>
    </row>
    <row r="101" customFormat="false" ht="15" hidden="false" customHeight="false" outlineLevel="0" collapsed="false">
      <c r="A101" s="7" t="s">
        <v>127</v>
      </c>
      <c r="B101" s="7" t="s">
        <v>128</v>
      </c>
      <c r="C101" s="8" t="n">
        <v>970</v>
      </c>
      <c r="D101" s="8" t="n">
        <v>1377</v>
      </c>
      <c r="E101" s="8" t="n">
        <v>1400</v>
      </c>
      <c r="F101" s="9" t="n">
        <v>0.99521</v>
      </c>
    </row>
    <row r="102" customFormat="false" ht="15" hidden="false" customHeight="false" outlineLevel="0" collapsed="false">
      <c r="A102" s="10" t="s">
        <v>127</v>
      </c>
      <c r="B102" s="10" t="s">
        <v>129</v>
      </c>
      <c r="C102" s="11" t="n">
        <v>1410</v>
      </c>
      <c r="D102" s="11" t="n">
        <v>1437</v>
      </c>
      <c r="E102" s="11" t="n">
        <v>1457</v>
      </c>
      <c r="F102" s="12" t="n">
        <v>0.991819</v>
      </c>
    </row>
    <row r="103" customFormat="false" ht="15" hidden="false" customHeight="false" outlineLevel="0" collapsed="false">
      <c r="A103" s="7" t="s">
        <v>127</v>
      </c>
      <c r="B103" s="7" t="s">
        <v>130</v>
      </c>
      <c r="C103" s="8" t="n">
        <v>350</v>
      </c>
      <c r="D103" s="8" t="n">
        <v>765</v>
      </c>
      <c r="E103" s="8" t="n">
        <v>1375</v>
      </c>
      <c r="F103" s="9" t="n">
        <v>0.995336</v>
      </c>
    </row>
    <row r="104" customFormat="false" ht="15" hidden="false" customHeight="false" outlineLevel="0" collapsed="false">
      <c r="A104" s="10" t="s">
        <v>127</v>
      </c>
      <c r="B104" s="10" t="s">
        <v>131</v>
      </c>
      <c r="C104" s="11" t="n">
        <v>407</v>
      </c>
      <c r="D104" s="11" t="n">
        <v>756</v>
      </c>
      <c r="E104" s="11" t="n">
        <v>1386</v>
      </c>
      <c r="F104" s="12" t="n">
        <v>0.994919</v>
      </c>
    </row>
    <row r="105" customFormat="false" ht="15" hidden="false" customHeight="false" outlineLevel="0" collapsed="false">
      <c r="A105" s="7" t="s">
        <v>127</v>
      </c>
      <c r="B105" s="7" t="s">
        <v>132</v>
      </c>
      <c r="C105" s="8" t="n">
        <v>1121</v>
      </c>
      <c r="D105" s="8" t="n">
        <v>1156</v>
      </c>
      <c r="E105" s="8" t="n">
        <v>1174</v>
      </c>
      <c r="F105" s="9" t="n">
        <v>0.980272</v>
      </c>
    </row>
    <row r="106" customFormat="false" ht="15" hidden="false" customHeight="false" outlineLevel="0" collapsed="false">
      <c r="A106" s="10" t="s">
        <v>127</v>
      </c>
      <c r="B106" s="10" t="s">
        <v>133</v>
      </c>
      <c r="C106" s="11" t="n">
        <v>1219</v>
      </c>
      <c r="D106" s="11" t="n">
        <v>1262</v>
      </c>
      <c r="E106" s="11" t="n">
        <v>1278</v>
      </c>
      <c r="F106" s="12" t="n">
        <v>0.991184</v>
      </c>
    </row>
    <row r="107" customFormat="false" ht="15" hidden="false" customHeight="false" outlineLevel="0" collapsed="false">
      <c r="A107" s="7" t="s">
        <v>127</v>
      </c>
      <c r="B107" s="7" t="s">
        <v>134</v>
      </c>
      <c r="C107" s="8" t="n">
        <v>988</v>
      </c>
      <c r="D107" s="8" t="n">
        <v>1230</v>
      </c>
      <c r="E107" s="8" t="n">
        <v>1652</v>
      </c>
      <c r="F107" s="9" t="n">
        <v>0.994295</v>
      </c>
    </row>
    <row r="108" customFormat="false" ht="15" hidden="false" customHeight="false" outlineLevel="0" collapsed="false">
      <c r="A108" s="10" t="s">
        <v>127</v>
      </c>
      <c r="B108" s="10" t="s">
        <v>135</v>
      </c>
      <c r="C108" s="11" t="n">
        <v>1374</v>
      </c>
      <c r="D108" s="11" t="n">
        <v>2176</v>
      </c>
      <c r="E108" s="11" t="n">
        <v>2713</v>
      </c>
      <c r="F108" s="12" t="n">
        <v>0.990811</v>
      </c>
    </row>
    <row r="109" customFormat="false" ht="15" hidden="false" customHeight="false" outlineLevel="0" collapsed="false">
      <c r="A109" s="7" t="s">
        <v>127</v>
      </c>
      <c r="B109" s="7" t="s">
        <v>136</v>
      </c>
      <c r="C109" s="8" t="n">
        <v>390</v>
      </c>
      <c r="D109" s="8" t="n">
        <v>601</v>
      </c>
      <c r="E109" s="8" t="n">
        <v>861</v>
      </c>
      <c r="F109" s="9" t="n">
        <v>0.996734</v>
      </c>
    </row>
    <row r="110" customFormat="false" ht="15" hidden="false" customHeight="false" outlineLevel="0" collapsed="false">
      <c r="A110" s="10" t="s">
        <v>127</v>
      </c>
      <c r="B110" s="10" t="s">
        <v>137</v>
      </c>
      <c r="C110" s="11" t="n">
        <v>1388</v>
      </c>
      <c r="D110" s="11" t="n">
        <v>1435</v>
      </c>
      <c r="E110" s="11" t="n">
        <v>1455</v>
      </c>
      <c r="F110" s="12" t="n">
        <v>0.988878</v>
      </c>
    </row>
    <row r="111" customFormat="false" ht="15" hidden="false" customHeight="false" outlineLevel="0" collapsed="false">
      <c r="A111" s="7" t="s">
        <v>127</v>
      </c>
      <c r="B111" s="7" t="s">
        <v>138</v>
      </c>
      <c r="C111" s="8" t="n">
        <v>1161</v>
      </c>
      <c r="D111" s="8" t="n">
        <v>1546</v>
      </c>
      <c r="E111" s="8" t="n">
        <v>2902</v>
      </c>
      <c r="F111" s="9" t="n">
        <v>0.980928</v>
      </c>
    </row>
    <row r="112" customFormat="false" ht="15" hidden="false" customHeight="false" outlineLevel="0" collapsed="false">
      <c r="A112" s="10" t="s">
        <v>127</v>
      </c>
      <c r="B112" s="10" t="s">
        <v>139</v>
      </c>
      <c r="C112" s="11" t="n">
        <v>1161</v>
      </c>
      <c r="D112" s="11" t="n">
        <v>1536</v>
      </c>
      <c r="E112" s="11" t="n">
        <v>1905</v>
      </c>
      <c r="F112" s="12" t="n">
        <v>0.987968</v>
      </c>
    </row>
    <row r="113" customFormat="false" ht="15" hidden="false" customHeight="false" outlineLevel="0" collapsed="false">
      <c r="A113" s="7" t="s">
        <v>140</v>
      </c>
      <c r="B113" s="7" t="s">
        <v>141</v>
      </c>
      <c r="C113" s="8" t="n">
        <v>1383</v>
      </c>
      <c r="D113" s="8" t="n">
        <v>1586</v>
      </c>
      <c r="E113" s="8" t="n">
        <v>1842</v>
      </c>
      <c r="F113" s="9" t="n">
        <v>0.994</v>
      </c>
    </row>
    <row r="114" customFormat="false" ht="15" hidden="false" customHeight="false" outlineLevel="0" collapsed="false">
      <c r="A114" s="10" t="s">
        <v>140</v>
      </c>
      <c r="B114" s="10" t="s">
        <v>142</v>
      </c>
      <c r="C114" s="11" t="n">
        <v>971</v>
      </c>
      <c r="D114" s="11" t="n">
        <v>1141</v>
      </c>
      <c r="E114" s="11" t="n">
        <v>1300</v>
      </c>
      <c r="F114" s="12" t="n">
        <v>0.9931</v>
      </c>
    </row>
    <row r="115" customFormat="false" ht="15" hidden="false" customHeight="false" outlineLevel="0" collapsed="false">
      <c r="A115" s="7" t="s">
        <v>140</v>
      </c>
      <c r="B115" s="7" t="s">
        <v>143</v>
      </c>
      <c r="C115" s="8" t="n">
        <v>845</v>
      </c>
      <c r="D115" s="8" t="n">
        <v>986</v>
      </c>
      <c r="E115" s="8" t="n">
        <v>1118</v>
      </c>
      <c r="F115" s="9" t="n">
        <v>0.9887</v>
      </c>
    </row>
    <row r="116" customFormat="false" ht="15" hidden="false" customHeight="false" outlineLevel="0" collapsed="false">
      <c r="A116" s="10" t="s">
        <v>140</v>
      </c>
      <c r="B116" s="10" t="s">
        <v>144</v>
      </c>
      <c r="C116" s="11" t="n">
        <v>281</v>
      </c>
      <c r="D116" s="11" t="n">
        <v>306</v>
      </c>
      <c r="E116" s="11" t="n">
        <v>320</v>
      </c>
      <c r="F116" s="12" t="n">
        <v>0.9887</v>
      </c>
    </row>
    <row r="117" customFormat="false" ht="15" hidden="false" customHeight="false" outlineLevel="0" collapsed="false">
      <c r="A117" s="7" t="s">
        <v>140</v>
      </c>
      <c r="B117" s="7" t="s">
        <v>145</v>
      </c>
      <c r="C117" s="8" t="n">
        <v>557</v>
      </c>
      <c r="D117" s="8" t="n">
        <v>666</v>
      </c>
      <c r="E117" s="8" t="n">
        <v>779</v>
      </c>
      <c r="F117" s="9" t="n">
        <v>0.987</v>
      </c>
    </row>
    <row r="118" customFormat="false" ht="15" hidden="false" customHeight="false" outlineLevel="0" collapsed="false">
      <c r="A118" s="10" t="s">
        <v>140</v>
      </c>
      <c r="B118" s="10" t="s">
        <v>146</v>
      </c>
      <c r="C118" s="11" t="n">
        <v>932</v>
      </c>
      <c r="D118" s="11" t="n">
        <v>1080</v>
      </c>
      <c r="E118" s="11" t="n">
        <v>1250</v>
      </c>
      <c r="F118" s="12" t="n">
        <v>0.9896</v>
      </c>
    </row>
    <row r="119" customFormat="false" ht="15" hidden="false" customHeight="false" outlineLevel="0" collapsed="false">
      <c r="A119" s="7" t="s">
        <v>140</v>
      </c>
      <c r="B119" s="7" t="s">
        <v>147</v>
      </c>
      <c r="C119" s="8" t="n">
        <v>728</v>
      </c>
      <c r="D119" s="8" t="n">
        <v>870</v>
      </c>
      <c r="E119" s="8" t="n">
        <v>1029</v>
      </c>
      <c r="F119" s="9" t="n">
        <v>0.9879</v>
      </c>
    </row>
    <row r="120" customFormat="false" ht="15" hidden="false" customHeight="false" outlineLevel="0" collapsed="false">
      <c r="A120" s="10" t="s">
        <v>140</v>
      </c>
      <c r="B120" s="10" t="s">
        <v>148</v>
      </c>
      <c r="C120" s="11" t="n">
        <v>990</v>
      </c>
      <c r="D120" s="11" t="n">
        <v>1158</v>
      </c>
      <c r="E120" s="11" t="n">
        <v>1321</v>
      </c>
      <c r="F120" s="12" t="n">
        <v>0.9943</v>
      </c>
    </row>
    <row r="121" customFormat="false" ht="15" hidden="false" customHeight="false" outlineLevel="0" collapsed="false">
      <c r="A121" s="7" t="s">
        <v>140</v>
      </c>
      <c r="B121" s="7" t="s">
        <v>149</v>
      </c>
      <c r="C121" s="8" t="n">
        <v>1037</v>
      </c>
      <c r="D121" s="8" t="n">
        <v>1240</v>
      </c>
      <c r="E121" s="8" t="n">
        <v>1435</v>
      </c>
      <c r="F121" s="9" t="n">
        <v>0.9913</v>
      </c>
    </row>
    <row r="122" customFormat="false" ht="15" hidden="false" customHeight="false" outlineLevel="0" collapsed="false">
      <c r="A122" s="10" t="s">
        <v>140</v>
      </c>
      <c r="B122" s="10" t="s">
        <v>150</v>
      </c>
      <c r="C122" s="11" t="n">
        <v>395</v>
      </c>
      <c r="D122" s="11" t="n">
        <v>429</v>
      </c>
      <c r="E122" s="11" t="n">
        <v>450</v>
      </c>
      <c r="F122" s="12" t="n">
        <v>0.9908</v>
      </c>
    </row>
    <row r="123" customFormat="false" ht="15" hidden="false" customHeight="false" outlineLevel="0" collapsed="false">
      <c r="A123" s="7" t="s">
        <v>140</v>
      </c>
      <c r="B123" s="7" t="s">
        <v>151</v>
      </c>
      <c r="C123" s="8" t="n">
        <v>302</v>
      </c>
      <c r="D123" s="8" t="n">
        <v>328</v>
      </c>
      <c r="E123" s="8" t="n">
        <v>347</v>
      </c>
      <c r="F123" s="9" t="n">
        <v>0.9806</v>
      </c>
    </row>
    <row r="124" customFormat="false" ht="15" hidden="false" customHeight="false" outlineLevel="0" collapsed="false">
      <c r="A124" s="10" t="s">
        <v>140</v>
      </c>
      <c r="B124" s="10" t="s">
        <v>152</v>
      </c>
      <c r="C124" s="11" t="n">
        <v>1</v>
      </c>
      <c r="D124" s="11" t="n">
        <v>23</v>
      </c>
      <c r="E124" s="11" t="n">
        <v>39</v>
      </c>
      <c r="F124" s="12" t="n">
        <v>0.2382</v>
      </c>
    </row>
    <row r="125" customFormat="false" ht="15" hidden="false" customHeight="false" outlineLevel="0" collapsed="false">
      <c r="A125" s="7" t="s">
        <v>140</v>
      </c>
      <c r="B125" s="7" t="s">
        <v>153</v>
      </c>
      <c r="C125" s="8" t="n">
        <v>182</v>
      </c>
      <c r="D125" s="8" t="n">
        <v>194</v>
      </c>
      <c r="E125" s="8" t="n">
        <v>201</v>
      </c>
      <c r="F125" s="9" t="n">
        <v>0.0547</v>
      </c>
    </row>
    <row r="126" customFormat="false" ht="15" hidden="false" customHeight="false" outlineLevel="0" collapsed="false">
      <c r="A126" s="10" t="s">
        <v>140</v>
      </c>
      <c r="B126" s="10" t="s">
        <v>154</v>
      </c>
      <c r="C126" s="11" t="n">
        <v>1019</v>
      </c>
      <c r="D126" s="11" t="n">
        <v>1210</v>
      </c>
      <c r="E126" s="11" t="n">
        <v>1410</v>
      </c>
      <c r="F126" s="12" t="n">
        <v>0.992</v>
      </c>
    </row>
    <row r="127" customFormat="false" ht="15" hidden="false" customHeight="false" outlineLevel="0" collapsed="false">
      <c r="A127" s="7" t="s">
        <v>140</v>
      </c>
      <c r="B127" s="7" t="s">
        <v>155</v>
      </c>
      <c r="C127" s="8" t="n">
        <v>1017</v>
      </c>
      <c r="D127" s="8" t="n">
        <v>1194</v>
      </c>
      <c r="E127" s="8" t="n">
        <v>1365</v>
      </c>
      <c r="F127" s="9" t="n">
        <v>0.9912</v>
      </c>
    </row>
    <row r="128" customFormat="false" ht="15" hidden="false" customHeight="false" outlineLevel="0" collapsed="false">
      <c r="A128" s="10" t="s">
        <v>140</v>
      </c>
      <c r="B128" s="10" t="s">
        <v>156</v>
      </c>
      <c r="C128" s="11" t="n">
        <v>284</v>
      </c>
      <c r="D128" s="11" t="n">
        <v>314</v>
      </c>
      <c r="E128" s="11" t="n">
        <v>321</v>
      </c>
      <c r="F128" s="12" t="n">
        <v>0.9698</v>
      </c>
    </row>
    <row r="129" customFormat="false" ht="15" hidden="false" customHeight="false" outlineLevel="0" collapsed="false">
      <c r="A129" s="7" t="s">
        <v>140</v>
      </c>
      <c r="B129" s="7" t="s">
        <v>157</v>
      </c>
      <c r="C129" s="8" t="n">
        <v>201</v>
      </c>
      <c r="D129" s="8" t="n">
        <v>209</v>
      </c>
      <c r="E129" s="8" t="n">
        <v>220</v>
      </c>
      <c r="F129" s="9" t="n">
        <v>0.9532</v>
      </c>
    </row>
    <row r="130" customFormat="false" ht="15" hidden="false" customHeight="false" outlineLevel="0" collapsed="false">
      <c r="A130" s="10" t="s">
        <v>140</v>
      </c>
      <c r="B130" s="10" t="s">
        <v>158</v>
      </c>
      <c r="C130" s="11" t="n">
        <v>988</v>
      </c>
      <c r="D130" s="11" t="n">
        <v>1230</v>
      </c>
      <c r="E130" s="11" t="n">
        <v>1652</v>
      </c>
      <c r="F130" s="12" t="n">
        <v>0.9943</v>
      </c>
    </row>
    <row r="131" customFormat="false" ht="15" hidden="false" customHeight="false" outlineLevel="0" collapsed="false">
      <c r="A131" s="7" t="s">
        <v>140</v>
      </c>
      <c r="B131" s="7" t="s">
        <v>159</v>
      </c>
      <c r="C131" s="8" t="n">
        <v>764</v>
      </c>
      <c r="D131" s="8" t="n">
        <v>913</v>
      </c>
      <c r="E131" s="8" t="n">
        <v>1207</v>
      </c>
      <c r="F131" s="9" t="n">
        <v>0.9917</v>
      </c>
    </row>
    <row r="132" customFormat="false" ht="15" hidden="false" customHeight="false" outlineLevel="0" collapsed="false">
      <c r="A132" s="10" t="s">
        <v>140</v>
      </c>
      <c r="B132" s="10" t="s">
        <v>160</v>
      </c>
      <c r="C132" s="11" t="n">
        <v>648</v>
      </c>
      <c r="D132" s="11" t="n">
        <v>771</v>
      </c>
      <c r="E132" s="11" t="n">
        <v>1046</v>
      </c>
      <c r="F132" s="12" t="n">
        <v>0.9894</v>
      </c>
    </row>
    <row r="133" customFormat="false" ht="15" hidden="false" customHeight="false" outlineLevel="0" collapsed="false">
      <c r="A133" s="7" t="s">
        <v>140</v>
      </c>
      <c r="B133" s="7" t="s">
        <v>161</v>
      </c>
      <c r="C133" s="8" t="n">
        <v>262</v>
      </c>
      <c r="D133" s="8" t="n">
        <v>285</v>
      </c>
      <c r="E133" s="8" t="n">
        <v>311</v>
      </c>
      <c r="F133" s="9" t="n">
        <v>0.9926</v>
      </c>
    </row>
    <row r="134" customFormat="false" ht="15" hidden="false" customHeight="false" outlineLevel="0" collapsed="false">
      <c r="A134" s="10" t="s">
        <v>140</v>
      </c>
      <c r="B134" s="10" t="s">
        <v>162</v>
      </c>
      <c r="C134" s="11" t="n">
        <v>504</v>
      </c>
      <c r="D134" s="11" t="n">
        <v>566</v>
      </c>
      <c r="E134" s="11" t="n">
        <v>752</v>
      </c>
      <c r="F134" s="12" t="n">
        <v>0.9841</v>
      </c>
    </row>
    <row r="135" customFormat="false" ht="15" hidden="false" customHeight="false" outlineLevel="0" collapsed="false">
      <c r="A135" s="7" t="s">
        <v>140</v>
      </c>
      <c r="B135" s="7" t="s">
        <v>163</v>
      </c>
      <c r="C135" s="8" t="n">
        <v>720</v>
      </c>
      <c r="D135" s="8" t="n">
        <v>867</v>
      </c>
      <c r="E135" s="8" t="n">
        <v>1158</v>
      </c>
      <c r="F135" s="9" t="n">
        <v>0.99</v>
      </c>
    </row>
    <row r="136" customFormat="false" ht="15" hidden="false" customHeight="false" outlineLevel="0" collapsed="false">
      <c r="A136" s="10" t="s">
        <v>140</v>
      </c>
      <c r="B136" s="10" t="s">
        <v>164</v>
      </c>
      <c r="C136" s="11" t="n">
        <v>572</v>
      </c>
      <c r="D136" s="11" t="n">
        <v>675</v>
      </c>
      <c r="E136" s="11" t="n">
        <v>913</v>
      </c>
      <c r="F136" s="12" t="n">
        <v>0.9901</v>
      </c>
    </row>
    <row r="137" customFormat="false" ht="15" hidden="false" customHeight="false" outlineLevel="0" collapsed="false">
      <c r="A137" s="7" t="s">
        <v>140</v>
      </c>
      <c r="B137" s="7" t="s">
        <v>165</v>
      </c>
      <c r="C137" s="8" t="n">
        <v>765</v>
      </c>
      <c r="D137" s="8" t="n">
        <v>920</v>
      </c>
      <c r="E137" s="8" t="n">
        <v>1252</v>
      </c>
      <c r="F137" s="9" t="n">
        <v>0.9896</v>
      </c>
    </row>
    <row r="138" customFormat="false" ht="15" hidden="false" customHeight="false" outlineLevel="0" collapsed="false">
      <c r="A138" s="10" t="s">
        <v>140</v>
      </c>
      <c r="B138" s="10" t="s">
        <v>166</v>
      </c>
      <c r="C138" s="11" t="n">
        <v>821</v>
      </c>
      <c r="D138" s="11" t="n">
        <v>986</v>
      </c>
      <c r="E138" s="11" t="n">
        <v>1334</v>
      </c>
      <c r="F138" s="12" t="n">
        <v>0.9884</v>
      </c>
    </row>
    <row r="139" customFormat="false" ht="15" hidden="false" customHeight="false" outlineLevel="0" collapsed="false">
      <c r="A139" s="7" t="s">
        <v>140</v>
      </c>
      <c r="B139" s="7" t="s">
        <v>167</v>
      </c>
      <c r="C139" s="8" t="n">
        <v>351</v>
      </c>
      <c r="D139" s="8" t="n">
        <v>390</v>
      </c>
      <c r="E139" s="8" t="n">
        <v>434</v>
      </c>
      <c r="F139" s="9" t="n">
        <v>0.9884</v>
      </c>
    </row>
    <row r="140" customFormat="false" ht="15" hidden="false" customHeight="false" outlineLevel="0" collapsed="false">
      <c r="A140" s="10" t="s">
        <v>140</v>
      </c>
      <c r="B140" s="10" t="s">
        <v>168</v>
      </c>
      <c r="C140" s="11" t="n">
        <v>281</v>
      </c>
      <c r="D140" s="11" t="n">
        <v>304</v>
      </c>
      <c r="E140" s="11" t="n">
        <v>336</v>
      </c>
      <c r="F140" s="12" t="n">
        <v>0.9883</v>
      </c>
    </row>
    <row r="141" customFormat="false" ht="15" hidden="false" customHeight="false" outlineLevel="0" collapsed="false">
      <c r="A141" s="7" t="s">
        <v>140</v>
      </c>
      <c r="B141" s="7" t="s">
        <v>169</v>
      </c>
      <c r="C141" s="8" t="n">
        <v>1</v>
      </c>
      <c r="D141" s="8" t="n">
        <v>20</v>
      </c>
      <c r="E141" s="8" t="n">
        <v>47</v>
      </c>
      <c r="F141" s="9" t="n">
        <v>0.2185</v>
      </c>
    </row>
    <row r="142" customFormat="false" ht="15" hidden="false" customHeight="false" outlineLevel="0" collapsed="false">
      <c r="A142" s="10" t="s">
        <v>140</v>
      </c>
      <c r="B142" s="10" t="s">
        <v>170</v>
      </c>
      <c r="C142" s="11" t="n">
        <v>161</v>
      </c>
      <c r="D142" s="11" t="n">
        <v>186</v>
      </c>
      <c r="E142" s="11" t="n">
        <v>200</v>
      </c>
      <c r="F142" s="12" t="n">
        <v>0.0528</v>
      </c>
    </row>
    <row r="143" customFormat="false" ht="15" hidden="false" customHeight="false" outlineLevel="0" collapsed="false">
      <c r="A143" s="7" t="s">
        <v>140</v>
      </c>
      <c r="B143" s="7" t="s">
        <v>171</v>
      </c>
      <c r="C143" s="8" t="n">
        <v>798</v>
      </c>
      <c r="D143" s="8" t="n">
        <v>954</v>
      </c>
      <c r="E143" s="8" t="n">
        <v>1283</v>
      </c>
      <c r="F143" s="9" t="n">
        <v>0.991</v>
      </c>
    </row>
    <row r="144" customFormat="false" ht="15" hidden="false" customHeight="false" outlineLevel="0" collapsed="false">
      <c r="A144" s="10" t="s">
        <v>140</v>
      </c>
      <c r="B144" s="10" t="s">
        <v>172</v>
      </c>
      <c r="C144" s="11" t="n">
        <v>786</v>
      </c>
      <c r="D144" s="11" t="n">
        <v>930</v>
      </c>
      <c r="E144" s="11" t="n">
        <v>1266</v>
      </c>
      <c r="F144" s="12" t="n">
        <v>0.9916</v>
      </c>
    </row>
    <row r="145" customFormat="false" ht="15" hidden="false" customHeight="false" outlineLevel="0" collapsed="false">
      <c r="A145" s="7" t="s">
        <v>140</v>
      </c>
      <c r="B145" s="7" t="s">
        <v>173</v>
      </c>
      <c r="C145" s="8" t="n">
        <v>264</v>
      </c>
      <c r="D145" s="8" t="n">
        <v>295</v>
      </c>
      <c r="E145" s="8" t="n">
        <v>320</v>
      </c>
      <c r="F145" s="9" t="n">
        <v>0.9584</v>
      </c>
    </row>
    <row r="146" customFormat="false" ht="15" hidden="false" customHeight="false" outlineLevel="0" collapsed="false">
      <c r="A146" s="10" t="s">
        <v>140</v>
      </c>
      <c r="B146" s="10" t="s">
        <v>174</v>
      </c>
      <c r="C146" s="11" t="n">
        <v>181</v>
      </c>
      <c r="D146" s="11" t="n">
        <v>203</v>
      </c>
      <c r="E146" s="11" t="n">
        <v>220</v>
      </c>
      <c r="F146" s="12" t="n">
        <v>0.9415</v>
      </c>
    </row>
    <row r="147" customFormat="false" ht="15" hidden="false" customHeight="false" outlineLevel="0" collapsed="false">
      <c r="A147" s="7" t="s">
        <v>140</v>
      </c>
      <c r="B147" s="7" t="s">
        <v>175</v>
      </c>
      <c r="C147" s="8" t="n">
        <v>1324</v>
      </c>
      <c r="D147" s="8" t="n">
        <v>2352</v>
      </c>
      <c r="E147" s="8" t="n">
        <v>3504</v>
      </c>
      <c r="F147" s="9" t="n">
        <v>0.9942</v>
      </c>
    </row>
    <row r="148" customFormat="false" ht="15" hidden="false" customHeight="false" outlineLevel="0" collapsed="false">
      <c r="A148" s="10" t="s">
        <v>140</v>
      </c>
      <c r="B148" s="10" t="s">
        <v>176</v>
      </c>
      <c r="C148" s="11" t="n">
        <v>1141</v>
      </c>
      <c r="D148" s="11" t="n">
        <v>1953</v>
      </c>
      <c r="E148" s="11" t="n">
        <v>2938</v>
      </c>
      <c r="F148" s="12" t="n">
        <v>0.9932</v>
      </c>
    </row>
    <row r="149" customFormat="false" ht="15" hidden="false" customHeight="false" outlineLevel="0" collapsed="false">
      <c r="A149" s="7" t="s">
        <v>140</v>
      </c>
      <c r="B149" s="7" t="s">
        <v>177</v>
      </c>
      <c r="C149" s="8" t="n">
        <v>981</v>
      </c>
      <c r="D149" s="8" t="n">
        <v>1676</v>
      </c>
      <c r="E149" s="8" t="n">
        <v>2514</v>
      </c>
      <c r="F149" s="9" t="n">
        <v>0.992</v>
      </c>
    </row>
    <row r="150" customFormat="false" ht="15" hidden="false" customHeight="false" outlineLevel="0" collapsed="false">
      <c r="A150" s="10" t="s">
        <v>140</v>
      </c>
      <c r="B150" s="10" t="s">
        <v>178</v>
      </c>
      <c r="C150" s="11" t="n">
        <v>760</v>
      </c>
      <c r="D150" s="11" t="n">
        <v>1016</v>
      </c>
      <c r="E150" s="11" t="n">
        <v>1665</v>
      </c>
      <c r="F150" s="12" t="n">
        <v>0.9801</v>
      </c>
    </row>
    <row r="151" customFormat="false" ht="15" hidden="false" customHeight="false" outlineLevel="0" collapsed="false">
      <c r="A151" s="7" t="s">
        <v>140</v>
      </c>
      <c r="B151" s="7" t="s">
        <v>179</v>
      </c>
      <c r="C151" s="8" t="n">
        <v>785</v>
      </c>
      <c r="D151" s="8" t="n">
        <v>1099</v>
      </c>
      <c r="E151" s="8" t="n">
        <v>1682</v>
      </c>
      <c r="F151" s="9" t="n">
        <v>0.9919</v>
      </c>
    </row>
    <row r="152" customFormat="false" ht="15" hidden="false" customHeight="false" outlineLevel="0" collapsed="false">
      <c r="A152" s="10" t="s">
        <v>140</v>
      </c>
      <c r="B152" s="10" t="s">
        <v>180</v>
      </c>
      <c r="C152" s="11" t="n">
        <v>1081</v>
      </c>
      <c r="D152" s="11" t="n">
        <v>1847</v>
      </c>
      <c r="E152" s="11" t="n">
        <v>2776</v>
      </c>
      <c r="F152" s="12" t="n">
        <v>0.9937</v>
      </c>
    </row>
    <row r="153" customFormat="false" ht="15" hidden="false" customHeight="false" outlineLevel="0" collapsed="false">
      <c r="A153" s="7" t="s">
        <v>140</v>
      </c>
      <c r="B153" s="7" t="s">
        <v>181</v>
      </c>
      <c r="C153" s="8" t="n">
        <v>863</v>
      </c>
      <c r="D153" s="8" t="n">
        <v>1475</v>
      </c>
      <c r="E153" s="8" t="n">
        <v>2226</v>
      </c>
      <c r="F153" s="9" t="n">
        <v>0.9926</v>
      </c>
    </row>
    <row r="154" customFormat="false" ht="15" hidden="false" customHeight="false" outlineLevel="0" collapsed="false">
      <c r="A154" s="10" t="s">
        <v>140</v>
      </c>
      <c r="B154" s="10" t="s">
        <v>182</v>
      </c>
      <c r="C154" s="11" t="n">
        <v>1158</v>
      </c>
      <c r="D154" s="11" t="n">
        <v>1980</v>
      </c>
      <c r="E154" s="11" t="n">
        <v>2982</v>
      </c>
      <c r="F154" s="12" t="n">
        <v>0.9935</v>
      </c>
    </row>
    <row r="155" customFormat="false" ht="15" hidden="false" customHeight="false" outlineLevel="0" collapsed="false">
      <c r="A155" s="7" t="s">
        <v>140</v>
      </c>
      <c r="B155" s="7" t="s">
        <v>183</v>
      </c>
      <c r="C155" s="8" t="n">
        <v>1196</v>
      </c>
      <c r="D155" s="8" t="n">
        <v>2043</v>
      </c>
      <c r="E155" s="8" t="n">
        <v>3077</v>
      </c>
      <c r="F155" s="9" t="n">
        <v>0.9942</v>
      </c>
    </row>
    <row r="156" customFormat="false" ht="15" hidden="false" customHeight="false" outlineLevel="0" collapsed="false">
      <c r="A156" s="10" t="s">
        <v>140</v>
      </c>
      <c r="B156" s="10" t="s">
        <v>184</v>
      </c>
      <c r="C156" s="11" t="n">
        <v>874</v>
      </c>
      <c r="D156" s="11" t="n">
        <v>1245</v>
      </c>
      <c r="E156" s="11" t="n">
        <v>2008</v>
      </c>
      <c r="F156" s="12" t="n">
        <v>0.9772</v>
      </c>
    </row>
    <row r="157" customFormat="false" ht="15" hidden="false" customHeight="false" outlineLevel="0" collapsed="false">
      <c r="A157" s="7" t="s">
        <v>140</v>
      </c>
      <c r="B157" s="7" t="s">
        <v>185</v>
      </c>
      <c r="C157" s="8" t="n">
        <v>774</v>
      </c>
      <c r="D157" s="8" t="n">
        <v>1047</v>
      </c>
      <c r="E157" s="8" t="n">
        <v>1705</v>
      </c>
      <c r="F157" s="9" t="n">
        <v>0.9768</v>
      </c>
    </row>
    <row r="158" customFormat="false" ht="15" hidden="false" customHeight="false" outlineLevel="0" collapsed="false">
      <c r="A158" s="10" t="s">
        <v>140</v>
      </c>
      <c r="B158" s="10" t="s">
        <v>186</v>
      </c>
      <c r="C158" s="11" t="n">
        <v>11</v>
      </c>
      <c r="D158" s="11" t="n">
        <v>12</v>
      </c>
      <c r="E158" s="11" t="n">
        <v>23</v>
      </c>
      <c r="F158" s="12" t="n">
        <v>0.8329</v>
      </c>
    </row>
    <row r="159" customFormat="false" ht="15" hidden="false" customHeight="false" outlineLevel="0" collapsed="false">
      <c r="A159" s="7" t="s">
        <v>140</v>
      </c>
      <c r="B159" s="7" t="s">
        <v>187</v>
      </c>
      <c r="C159" s="8" t="n">
        <v>1</v>
      </c>
      <c r="D159" s="8" t="n">
        <v>1</v>
      </c>
      <c r="E159" s="8" t="n">
        <v>14</v>
      </c>
      <c r="F159" s="9" t="n">
        <v>0.0288</v>
      </c>
    </row>
    <row r="160" customFormat="false" ht="15" hidden="false" customHeight="false" outlineLevel="0" collapsed="false">
      <c r="A160" s="10" t="s">
        <v>140</v>
      </c>
      <c r="B160" s="10" t="s">
        <v>188</v>
      </c>
      <c r="C160" s="11" t="n">
        <v>1158</v>
      </c>
      <c r="D160" s="11" t="n">
        <v>1980</v>
      </c>
      <c r="E160" s="11" t="n">
        <v>2982</v>
      </c>
      <c r="F160" s="12" t="n">
        <v>0.9935</v>
      </c>
    </row>
    <row r="161" customFormat="false" ht="15" hidden="false" customHeight="false" outlineLevel="0" collapsed="false">
      <c r="A161" s="7" t="s">
        <v>140</v>
      </c>
      <c r="B161" s="7" t="s">
        <v>189</v>
      </c>
      <c r="C161" s="8" t="n">
        <v>1141</v>
      </c>
      <c r="D161" s="8" t="n">
        <v>1953</v>
      </c>
      <c r="E161" s="8" t="n">
        <v>2938</v>
      </c>
      <c r="F161" s="9" t="n">
        <v>0.9932</v>
      </c>
    </row>
    <row r="162" customFormat="false" ht="15" hidden="false" customHeight="false" outlineLevel="0" collapsed="false">
      <c r="A162" s="10" t="s">
        <v>140</v>
      </c>
      <c r="B162" s="10" t="s">
        <v>190</v>
      </c>
      <c r="C162" s="11" t="n">
        <v>774</v>
      </c>
      <c r="D162" s="11" t="n">
        <v>1047</v>
      </c>
      <c r="E162" s="11" t="n">
        <v>1700</v>
      </c>
      <c r="F162" s="12" t="n">
        <v>0.9768</v>
      </c>
    </row>
    <row r="163" customFormat="false" ht="15" hidden="false" customHeight="false" outlineLevel="0" collapsed="false">
      <c r="A163" s="7" t="s">
        <v>140</v>
      </c>
      <c r="B163" s="7" t="s">
        <v>191</v>
      </c>
      <c r="C163" s="8" t="n">
        <v>674</v>
      </c>
      <c r="D163" s="8" t="n">
        <v>848</v>
      </c>
      <c r="E163" s="8" t="n">
        <v>1229</v>
      </c>
      <c r="F163" s="9" t="n">
        <v>0.9446</v>
      </c>
    </row>
    <row r="164" customFormat="false" ht="15" hidden="false" customHeight="false" outlineLevel="0" collapsed="false">
      <c r="A164" s="10" t="s">
        <v>140</v>
      </c>
      <c r="B164" s="10" t="s">
        <v>192</v>
      </c>
      <c r="C164" s="11" t="n">
        <v>1374</v>
      </c>
      <c r="D164" s="11" t="n">
        <v>2176</v>
      </c>
      <c r="E164" s="11" t="n">
        <v>2713</v>
      </c>
      <c r="F164" s="12" t="n">
        <v>0.9908</v>
      </c>
    </row>
    <row r="165" customFormat="false" ht="15" hidden="false" customHeight="false" outlineLevel="0" collapsed="false">
      <c r="A165" s="7" t="s">
        <v>140</v>
      </c>
      <c r="B165" s="7" t="s">
        <v>193</v>
      </c>
      <c r="C165" s="8" t="n">
        <v>1182</v>
      </c>
      <c r="D165" s="8" t="n">
        <v>1814</v>
      </c>
      <c r="E165" s="8" t="n">
        <v>2272</v>
      </c>
      <c r="F165" s="9" t="n">
        <v>0.9911</v>
      </c>
    </row>
    <row r="166" customFormat="false" ht="15" hidden="false" customHeight="false" outlineLevel="0" collapsed="false">
      <c r="A166" s="10" t="s">
        <v>140</v>
      </c>
      <c r="B166" s="10" t="s">
        <v>194</v>
      </c>
      <c r="C166" s="11" t="n">
        <v>1014</v>
      </c>
      <c r="D166" s="11" t="n">
        <v>1560</v>
      </c>
      <c r="E166" s="11" t="n">
        <v>1952</v>
      </c>
      <c r="F166" s="12" t="n">
        <v>0.9884</v>
      </c>
    </row>
    <row r="167" customFormat="false" ht="15" hidden="false" customHeight="false" outlineLevel="0" collapsed="false">
      <c r="A167" s="7" t="s">
        <v>140</v>
      </c>
      <c r="B167" s="7" t="s">
        <v>195</v>
      </c>
      <c r="C167" s="8" t="n">
        <v>774</v>
      </c>
      <c r="D167" s="8" t="n">
        <v>974</v>
      </c>
      <c r="E167" s="8" t="n">
        <v>1016</v>
      </c>
      <c r="F167" s="9" t="n">
        <v>0.9649</v>
      </c>
    </row>
    <row r="168" customFormat="false" ht="15" hidden="false" customHeight="false" outlineLevel="0" collapsed="false">
      <c r="A168" s="10" t="s">
        <v>140</v>
      </c>
      <c r="B168" s="10" t="s">
        <v>196</v>
      </c>
      <c r="C168" s="11" t="n">
        <v>804</v>
      </c>
      <c r="D168" s="11" t="n">
        <v>1057</v>
      </c>
      <c r="E168" s="11" t="n">
        <v>1397</v>
      </c>
      <c r="F168" s="12" t="n">
        <v>0.9858</v>
      </c>
    </row>
    <row r="169" customFormat="false" ht="15" hidden="false" customHeight="false" outlineLevel="0" collapsed="false">
      <c r="A169" s="7" t="s">
        <v>140</v>
      </c>
      <c r="B169" s="7" t="s">
        <v>197</v>
      </c>
      <c r="C169" s="8" t="n">
        <v>1118</v>
      </c>
      <c r="D169" s="8" t="n">
        <v>1716</v>
      </c>
      <c r="E169" s="8" t="n">
        <v>2149</v>
      </c>
      <c r="F169" s="9" t="n">
        <v>0.9887</v>
      </c>
    </row>
    <row r="170" customFormat="false" ht="15" hidden="false" customHeight="false" outlineLevel="0" collapsed="false">
      <c r="A170" s="10" t="s">
        <v>140</v>
      </c>
      <c r="B170" s="10" t="s">
        <v>198</v>
      </c>
      <c r="C170" s="11" t="n">
        <v>893</v>
      </c>
      <c r="D170" s="11" t="n">
        <v>1374</v>
      </c>
      <c r="E170" s="11" t="n">
        <v>1721</v>
      </c>
      <c r="F170" s="12" t="n">
        <v>0.9886</v>
      </c>
    </row>
    <row r="171" customFormat="false" ht="15" hidden="false" customHeight="false" outlineLevel="0" collapsed="false">
      <c r="A171" s="7" t="s">
        <v>140</v>
      </c>
      <c r="B171" s="7" t="s">
        <v>199</v>
      </c>
      <c r="C171" s="8" t="n">
        <v>1199</v>
      </c>
      <c r="D171" s="8" t="n">
        <v>1843</v>
      </c>
      <c r="E171" s="8" t="n">
        <v>2302</v>
      </c>
      <c r="F171" s="9" t="n">
        <v>0.9897</v>
      </c>
    </row>
    <row r="172" customFormat="false" ht="15" hidden="false" customHeight="false" outlineLevel="0" collapsed="false">
      <c r="A172" s="10" t="s">
        <v>140</v>
      </c>
      <c r="B172" s="10" t="s">
        <v>200</v>
      </c>
      <c r="C172" s="11" t="n">
        <v>1237</v>
      </c>
      <c r="D172" s="11" t="n">
        <v>1900</v>
      </c>
      <c r="E172" s="11" t="n">
        <v>2384</v>
      </c>
      <c r="F172" s="12" t="n">
        <v>0.9911</v>
      </c>
    </row>
    <row r="173" customFormat="false" ht="15" hidden="false" customHeight="false" outlineLevel="0" collapsed="false">
      <c r="A173" s="7" t="s">
        <v>140</v>
      </c>
      <c r="B173" s="7" t="s">
        <v>201</v>
      </c>
      <c r="C173" s="8" t="n">
        <v>894</v>
      </c>
      <c r="D173" s="8" t="n">
        <v>1195</v>
      </c>
      <c r="E173" s="8" t="n">
        <v>1259</v>
      </c>
      <c r="F173" s="9" t="n">
        <v>0.9735</v>
      </c>
    </row>
    <row r="174" customFormat="false" ht="15" hidden="false" customHeight="false" outlineLevel="0" collapsed="false">
      <c r="A174" s="10" t="s">
        <v>140</v>
      </c>
      <c r="B174" s="10" t="s">
        <v>202</v>
      </c>
      <c r="C174" s="11" t="n">
        <v>796</v>
      </c>
      <c r="D174" s="11" t="n">
        <v>1021</v>
      </c>
      <c r="E174" s="11" t="n">
        <v>1076</v>
      </c>
      <c r="F174" s="12" t="n">
        <v>0.9681</v>
      </c>
    </row>
    <row r="175" customFormat="false" ht="15" hidden="false" customHeight="false" outlineLevel="0" collapsed="false">
      <c r="A175" s="7" t="s">
        <v>140</v>
      </c>
      <c r="B175" s="7" t="s">
        <v>203</v>
      </c>
      <c r="C175" s="8" t="n">
        <v>11</v>
      </c>
      <c r="D175" s="8" t="n">
        <v>12</v>
      </c>
      <c r="E175" s="8" t="n">
        <v>22</v>
      </c>
      <c r="F175" s="9" t="n">
        <v>0.8314</v>
      </c>
    </row>
    <row r="176" customFormat="false" ht="15" hidden="false" customHeight="false" outlineLevel="0" collapsed="false">
      <c r="A176" s="10" t="s">
        <v>140</v>
      </c>
      <c r="B176" s="10" t="s">
        <v>204</v>
      </c>
      <c r="C176" s="11" t="n">
        <v>1</v>
      </c>
      <c r="D176" s="11" t="n">
        <v>1</v>
      </c>
      <c r="E176" s="11" t="n">
        <v>13</v>
      </c>
      <c r="F176" s="12" t="n">
        <v>0.0338</v>
      </c>
    </row>
    <row r="177" customFormat="false" ht="15" hidden="false" customHeight="false" outlineLevel="0" collapsed="false">
      <c r="A177" s="7" t="s">
        <v>140</v>
      </c>
      <c r="B177" s="7" t="s">
        <v>205</v>
      </c>
      <c r="C177" s="8" t="n">
        <v>1199</v>
      </c>
      <c r="D177" s="8" t="n">
        <v>1843</v>
      </c>
      <c r="E177" s="8" t="n">
        <v>2302</v>
      </c>
      <c r="F177" s="9" t="n">
        <v>0.9897</v>
      </c>
    </row>
    <row r="178" customFormat="false" ht="15" hidden="false" customHeight="false" outlineLevel="0" collapsed="false">
      <c r="A178" s="10" t="s">
        <v>140</v>
      </c>
      <c r="B178" s="10" t="s">
        <v>206</v>
      </c>
      <c r="C178" s="11" t="n">
        <v>1182</v>
      </c>
      <c r="D178" s="11" t="n">
        <v>1814</v>
      </c>
      <c r="E178" s="11" t="n">
        <v>2272</v>
      </c>
      <c r="F178" s="12" t="n">
        <v>0.9911</v>
      </c>
    </row>
    <row r="179" customFormat="false" ht="15" hidden="false" customHeight="false" outlineLevel="0" collapsed="false">
      <c r="A179" s="7" t="s">
        <v>140</v>
      </c>
      <c r="B179" s="7" t="s">
        <v>207</v>
      </c>
      <c r="C179" s="8" t="n">
        <v>796</v>
      </c>
      <c r="D179" s="8" t="n">
        <v>1021</v>
      </c>
      <c r="E179" s="8" t="n">
        <v>1075</v>
      </c>
      <c r="F179" s="9" t="n">
        <v>0.9681</v>
      </c>
    </row>
    <row r="180" customFormat="false" ht="15" hidden="false" customHeight="false" outlineLevel="0" collapsed="false">
      <c r="A180" s="10" t="s">
        <v>140</v>
      </c>
      <c r="B180" s="10" t="s">
        <v>208</v>
      </c>
      <c r="C180" s="11" t="n">
        <v>674</v>
      </c>
      <c r="D180" s="11" t="n">
        <v>806</v>
      </c>
      <c r="E180" s="11" t="n">
        <v>855</v>
      </c>
      <c r="F180" s="12" t="n">
        <v>0.9594</v>
      </c>
    </row>
    <row r="181" customFormat="false" ht="15" hidden="false" customHeight="false" outlineLevel="0" collapsed="false">
      <c r="A181" s="7" t="s">
        <v>140</v>
      </c>
      <c r="B181" s="7" t="s">
        <v>209</v>
      </c>
      <c r="C181" s="8" t="n">
        <v>2446</v>
      </c>
      <c r="D181" s="8" t="n">
        <v>2536</v>
      </c>
      <c r="E181" s="8" t="n">
        <v>2566</v>
      </c>
      <c r="F181" s="9" t="n">
        <v>0.9972</v>
      </c>
    </row>
    <row r="182" customFormat="false" ht="15" hidden="false" customHeight="false" outlineLevel="0" collapsed="false">
      <c r="A182" s="10" t="s">
        <v>140</v>
      </c>
      <c r="B182" s="10" t="s">
        <v>210</v>
      </c>
      <c r="C182" s="11" t="n">
        <v>1931</v>
      </c>
      <c r="D182" s="11" t="n">
        <v>2016</v>
      </c>
      <c r="E182" s="11" t="n">
        <v>2046</v>
      </c>
      <c r="F182" s="12" t="n">
        <v>0.9975</v>
      </c>
    </row>
    <row r="183" customFormat="false" ht="15" hidden="false" customHeight="false" outlineLevel="0" collapsed="false">
      <c r="A183" s="7" t="s">
        <v>140</v>
      </c>
      <c r="B183" s="7" t="s">
        <v>211</v>
      </c>
      <c r="C183" s="8" t="n">
        <v>1651</v>
      </c>
      <c r="D183" s="8" t="n">
        <v>1741</v>
      </c>
      <c r="E183" s="8" t="n">
        <v>1771</v>
      </c>
      <c r="F183" s="9" t="n">
        <v>0.9974</v>
      </c>
    </row>
    <row r="184" customFormat="false" ht="15" hidden="false" customHeight="false" outlineLevel="0" collapsed="false">
      <c r="A184" s="10" t="s">
        <v>140</v>
      </c>
      <c r="B184" s="10" t="s">
        <v>212</v>
      </c>
      <c r="C184" s="11" t="n">
        <v>991</v>
      </c>
      <c r="D184" s="11" t="n">
        <v>1096</v>
      </c>
      <c r="E184" s="11" t="n">
        <v>1136</v>
      </c>
      <c r="F184" s="12" t="n">
        <v>0.9937</v>
      </c>
    </row>
    <row r="185" customFormat="false" ht="15" hidden="false" customHeight="false" outlineLevel="0" collapsed="false">
      <c r="A185" s="7" t="s">
        <v>140</v>
      </c>
      <c r="B185" s="7" t="s">
        <v>213</v>
      </c>
      <c r="C185" s="8" t="n">
        <v>1061</v>
      </c>
      <c r="D185" s="8" t="n">
        <v>1181</v>
      </c>
      <c r="E185" s="8" t="n">
        <v>1211</v>
      </c>
      <c r="F185" s="9" t="n">
        <v>0.996</v>
      </c>
    </row>
    <row r="186" customFormat="false" ht="15" hidden="false" customHeight="false" outlineLevel="0" collapsed="false">
      <c r="A186" s="10" t="s">
        <v>140</v>
      </c>
      <c r="B186" s="10" t="s">
        <v>214</v>
      </c>
      <c r="C186" s="11" t="n">
        <v>1831</v>
      </c>
      <c r="D186" s="11" t="n">
        <v>1916</v>
      </c>
      <c r="E186" s="11" t="n">
        <v>1941</v>
      </c>
      <c r="F186" s="12" t="n">
        <v>0.9971</v>
      </c>
    </row>
    <row r="187" customFormat="false" ht="15" hidden="false" customHeight="false" outlineLevel="0" collapsed="false">
      <c r="A187" s="7" t="s">
        <v>140</v>
      </c>
      <c r="B187" s="7" t="s">
        <v>215</v>
      </c>
      <c r="C187" s="8" t="n">
        <v>1481</v>
      </c>
      <c r="D187" s="8" t="n">
        <v>1551</v>
      </c>
      <c r="E187" s="8" t="n">
        <v>1591</v>
      </c>
      <c r="F187" s="9" t="n">
        <v>0.9971</v>
      </c>
    </row>
    <row r="188" customFormat="false" ht="15" hidden="false" customHeight="false" outlineLevel="0" collapsed="false">
      <c r="A188" s="10" t="s">
        <v>140</v>
      </c>
      <c r="B188" s="10" t="s">
        <v>216</v>
      </c>
      <c r="C188" s="11" t="n">
        <v>1961</v>
      </c>
      <c r="D188" s="11" t="n">
        <v>2046</v>
      </c>
      <c r="E188" s="11" t="n">
        <v>2081</v>
      </c>
      <c r="F188" s="12" t="n">
        <v>0.9976</v>
      </c>
    </row>
    <row r="189" customFormat="false" ht="15" hidden="false" customHeight="false" outlineLevel="0" collapsed="false">
      <c r="A189" s="7" t="s">
        <v>140</v>
      </c>
      <c r="B189" s="7" t="s">
        <v>217</v>
      </c>
      <c r="C189" s="8" t="n">
        <v>2061</v>
      </c>
      <c r="D189" s="8" t="n">
        <v>2141</v>
      </c>
      <c r="E189" s="8" t="n">
        <v>2176</v>
      </c>
      <c r="F189" s="9" t="n">
        <v>0.9979</v>
      </c>
    </row>
    <row r="190" customFormat="false" ht="15" hidden="false" customHeight="false" outlineLevel="0" collapsed="false">
      <c r="A190" s="10" t="s">
        <v>140</v>
      </c>
      <c r="B190" s="10" t="s">
        <v>218</v>
      </c>
      <c r="C190" s="11" t="n">
        <v>1286</v>
      </c>
      <c r="D190" s="11" t="n">
        <v>1351</v>
      </c>
      <c r="E190" s="11" t="n">
        <v>1391</v>
      </c>
      <c r="F190" s="12" t="n">
        <v>0.9906</v>
      </c>
    </row>
    <row r="191" customFormat="false" ht="15" hidden="false" customHeight="false" outlineLevel="0" collapsed="false">
      <c r="A191" s="7" t="s">
        <v>140</v>
      </c>
      <c r="B191" s="7" t="s">
        <v>219</v>
      </c>
      <c r="C191" s="8" t="n">
        <v>1101</v>
      </c>
      <c r="D191" s="8" t="n">
        <v>1191</v>
      </c>
      <c r="E191" s="8" t="n">
        <v>1241</v>
      </c>
      <c r="F191" s="9" t="n">
        <v>0.9903</v>
      </c>
    </row>
    <row r="192" customFormat="false" ht="15" hidden="false" customHeight="false" outlineLevel="0" collapsed="false">
      <c r="A192" s="10" t="s">
        <v>140</v>
      </c>
      <c r="B192" s="10" t="s">
        <v>220</v>
      </c>
      <c r="C192" s="11" t="n">
        <v>2</v>
      </c>
      <c r="D192" s="11" t="n">
        <v>96</v>
      </c>
      <c r="E192" s="11" t="n">
        <v>201</v>
      </c>
      <c r="F192" s="12" t="n">
        <v>0.1687</v>
      </c>
    </row>
    <row r="193" customFormat="false" ht="15" hidden="false" customHeight="false" outlineLevel="0" collapsed="false">
      <c r="A193" s="7" t="s">
        <v>140</v>
      </c>
      <c r="B193" s="7" t="s">
        <v>221</v>
      </c>
      <c r="C193" s="8" t="n">
        <v>44</v>
      </c>
      <c r="D193" s="8" t="n">
        <v>216</v>
      </c>
      <c r="E193" s="8" t="n">
        <v>331</v>
      </c>
      <c r="F193" s="9" t="n">
        <v>0.0591</v>
      </c>
    </row>
    <row r="194" customFormat="false" ht="15" hidden="false" customHeight="false" outlineLevel="0" collapsed="false">
      <c r="A194" s="10" t="s">
        <v>140</v>
      </c>
      <c r="B194" s="10" t="s">
        <v>222</v>
      </c>
      <c r="C194" s="11" t="n">
        <v>2016</v>
      </c>
      <c r="D194" s="11" t="n">
        <v>2086</v>
      </c>
      <c r="E194" s="11" t="n">
        <v>2116</v>
      </c>
      <c r="F194" s="12" t="n">
        <v>0.9975</v>
      </c>
    </row>
    <row r="195" customFormat="false" ht="15" hidden="false" customHeight="false" outlineLevel="0" collapsed="false">
      <c r="A195" s="7" t="s">
        <v>140</v>
      </c>
      <c r="B195" s="7" t="s">
        <v>223</v>
      </c>
      <c r="C195" s="8" t="n">
        <v>1966</v>
      </c>
      <c r="D195" s="8" t="n">
        <v>2050</v>
      </c>
      <c r="E195" s="8" t="n">
        <v>2076</v>
      </c>
      <c r="F195" s="9" t="n">
        <v>0.997</v>
      </c>
    </row>
    <row r="196" customFormat="false" ht="15" hidden="false" customHeight="false" outlineLevel="0" collapsed="false">
      <c r="A196" s="10" t="s">
        <v>140</v>
      </c>
      <c r="B196" s="10" t="s">
        <v>224</v>
      </c>
      <c r="C196" s="11" t="n">
        <v>706</v>
      </c>
      <c r="D196" s="11" t="n">
        <v>936</v>
      </c>
      <c r="E196" s="11" t="n">
        <v>1026</v>
      </c>
      <c r="F196" s="12" t="n">
        <v>0.9666</v>
      </c>
    </row>
    <row r="197" customFormat="false" ht="15" hidden="false" customHeight="false" outlineLevel="0" collapsed="false">
      <c r="A197" s="7" t="s">
        <v>140</v>
      </c>
      <c r="B197" s="7" t="s">
        <v>225</v>
      </c>
      <c r="C197" s="8" t="n">
        <v>411</v>
      </c>
      <c r="D197" s="8" t="n">
        <v>746</v>
      </c>
      <c r="E197" s="8" t="n">
        <v>851</v>
      </c>
      <c r="F197" s="9" t="n">
        <v>0.9535</v>
      </c>
    </row>
    <row r="198" customFormat="false" ht="15" hidden="false" customHeight="false" outlineLevel="0" collapsed="false">
      <c r="A198" s="10" t="s">
        <v>140</v>
      </c>
      <c r="B198" s="10" t="s">
        <v>226</v>
      </c>
      <c r="C198" s="11" t="n">
        <v>1626</v>
      </c>
      <c r="D198" s="11" t="n">
        <v>1821</v>
      </c>
      <c r="E198" s="11" t="n">
        <v>1881</v>
      </c>
      <c r="F198" s="12" t="n">
        <v>0.9956</v>
      </c>
    </row>
    <row r="199" customFormat="false" ht="15" hidden="false" customHeight="false" outlineLevel="0" collapsed="false">
      <c r="A199" s="7" t="s">
        <v>140</v>
      </c>
      <c r="B199" s="7" t="s">
        <v>227</v>
      </c>
      <c r="C199" s="8" t="n">
        <v>1281</v>
      </c>
      <c r="D199" s="8" t="n">
        <v>1481</v>
      </c>
      <c r="E199" s="8" t="n">
        <v>1536</v>
      </c>
      <c r="F199" s="9" t="n">
        <v>0.9944</v>
      </c>
    </row>
    <row r="200" customFormat="false" ht="15" hidden="false" customHeight="false" outlineLevel="0" collapsed="false">
      <c r="A200" s="10" t="s">
        <v>140</v>
      </c>
      <c r="B200" s="10" t="s">
        <v>228</v>
      </c>
      <c r="C200" s="11" t="n">
        <v>1051</v>
      </c>
      <c r="D200" s="11" t="n">
        <v>1276</v>
      </c>
      <c r="E200" s="11" t="n">
        <v>1316</v>
      </c>
      <c r="F200" s="12" t="n">
        <v>0.9946</v>
      </c>
    </row>
    <row r="201" customFormat="false" ht="15" hidden="false" customHeight="false" outlineLevel="0" collapsed="false">
      <c r="A201" s="7" t="s">
        <v>140</v>
      </c>
      <c r="B201" s="7" t="s">
        <v>229</v>
      </c>
      <c r="C201" s="8" t="n">
        <v>796</v>
      </c>
      <c r="D201" s="8" t="n">
        <v>911</v>
      </c>
      <c r="E201" s="8" t="n">
        <v>986</v>
      </c>
      <c r="F201" s="9" t="n">
        <v>0.972</v>
      </c>
    </row>
    <row r="202" customFormat="false" ht="15" hidden="false" customHeight="false" outlineLevel="0" collapsed="false">
      <c r="A202" s="10" t="s">
        <v>140</v>
      </c>
      <c r="B202" s="10" t="s">
        <v>230</v>
      </c>
      <c r="C202" s="11" t="n">
        <v>661</v>
      </c>
      <c r="D202" s="11" t="n">
        <v>901</v>
      </c>
      <c r="E202" s="11" t="n">
        <v>936</v>
      </c>
      <c r="F202" s="12" t="n">
        <v>0.9932</v>
      </c>
    </row>
    <row r="203" customFormat="false" ht="15" hidden="false" customHeight="false" outlineLevel="0" collapsed="false">
      <c r="A203" s="7" t="s">
        <v>140</v>
      </c>
      <c r="B203" s="7" t="s">
        <v>231</v>
      </c>
      <c r="C203" s="8" t="n">
        <v>1226</v>
      </c>
      <c r="D203" s="8" t="n">
        <v>1386</v>
      </c>
      <c r="E203" s="8" t="n">
        <v>1436</v>
      </c>
      <c r="F203" s="9" t="n">
        <v>0.9958</v>
      </c>
    </row>
    <row r="204" customFormat="false" ht="15" hidden="false" customHeight="false" outlineLevel="0" collapsed="false">
      <c r="A204" s="10" t="s">
        <v>140</v>
      </c>
      <c r="B204" s="10" t="s">
        <v>232</v>
      </c>
      <c r="C204" s="11" t="n">
        <v>911</v>
      </c>
      <c r="D204" s="11" t="n">
        <v>1111</v>
      </c>
      <c r="E204" s="11" t="n">
        <v>1171</v>
      </c>
      <c r="F204" s="12" t="n">
        <v>0.9935</v>
      </c>
    </row>
    <row r="205" customFormat="false" ht="15" hidden="false" customHeight="false" outlineLevel="0" collapsed="false">
      <c r="A205" s="7" t="s">
        <v>140</v>
      </c>
      <c r="B205" s="7" t="s">
        <v>233</v>
      </c>
      <c r="C205" s="8" t="n">
        <v>1336</v>
      </c>
      <c r="D205" s="8" t="n">
        <v>1491</v>
      </c>
      <c r="E205" s="8" t="n">
        <v>1551</v>
      </c>
      <c r="F205" s="9" t="n">
        <v>0.9952</v>
      </c>
    </row>
    <row r="206" customFormat="false" ht="15" hidden="false" customHeight="false" outlineLevel="0" collapsed="false">
      <c r="A206" s="10" t="s">
        <v>140</v>
      </c>
      <c r="B206" s="10" t="s">
        <v>234</v>
      </c>
      <c r="C206" s="11" t="n">
        <v>1361</v>
      </c>
      <c r="D206" s="11" t="n">
        <v>1566</v>
      </c>
      <c r="E206" s="11" t="n">
        <v>1616</v>
      </c>
      <c r="F206" s="12" t="n">
        <v>0.9939</v>
      </c>
    </row>
    <row r="207" customFormat="false" ht="15" hidden="false" customHeight="false" outlineLevel="0" collapsed="false">
      <c r="A207" s="7" t="s">
        <v>140</v>
      </c>
      <c r="B207" s="7" t="s">
        <v>235</v>
      </c>
      <c r="C207" s="8" t="n">
        <v>946</v>
      </c>
      <c r="D207" s="8" t="n">
        <v>1100</v>
      </c>
      <c r="E207" s="8" t="n">
        <v>1186</v>
      </c>
      <c r="F207" s="9" t="n">
        <v>0.9802</v>
      </c>
    </row>
    <row r="208" customFormat="false" ht="15" hidden="false" customHeight="false" outlineLevel="0" collapsed="false">
      <c r="A208" s="10" t="s">
        <v>140</v>
      </c>
      <c r="B208" s="10" t="s">
        <v>236</v>
      </c>
      <c r="C208" s="11" t="n">
        <v>841</v>
      </c>
      <c r="D208" s="11" t="n">
        <v>981</v>
      </c>
      <c r="E208" s="11" t="n">
        <v>1061</v>
      </c>
      <c r="F208" s="12" t="n">
        <v>0.9606</v>
      </c>
    </row>
    <row r="209" customFormat="false" ht="15" hidden="false" customHeight="false" outlineLevel="0" collapsed="false">
      <c r="A209" s="7" t="s">
        <v>140</v>
      </c>
      <c r="B209" s="7" t="s">
        <v>237</v>
      </c>
      <c r="C209" s="8" t="n">
        <v>1</v>
      </c>
      <c r="D209" s="8" t="n">
        <v>71</v>
      </c>
      <c r="E209" s="8" t="n">
        <v>181</v>
      </c>
      <c r="F209" s="9" t="n">
        <v>0.1491</v>
      </c>
    </row>
    <row r="210" customFormat="false" ht="15" hidden="false" customHeight="false" outlineLevel="0" collapsed="false">
      <c r="A210" s="10" t="s">
        <v>140</v>
      </c>
      <c r="B210" s="10" t="s">
        <v>238</v>
      </c>
      <c r="C210" s="11" t="n">
        <v>199</v>
      </c>
      <c r="D210" s="11" t="n">
        <v>281</v>
      </c>
      <c r="E210" s="11" t="n">
        <v>386</v>
      </c>
      <c r="F210" s="12" t="n">
        <v>0.0405</v>
      </c>
    </row>
    <row r="211" customFormat="false" ht="15" hidden="false" customHeight="false" outlineLevel="0" collapsed="false">
      <c r="A211" s="7" t="s">
        <v>140</v>
      </c>
      <c r="B211" s="7" t="s">
        <v>239</v>
      </c>
      <c r="C211" s="8" t="n">
        <v>1316</v>
      </c>
      <c r="D211" s="8" t="n">
        <v>1521</v>
      </c>
      <c r="E211" s="8" t="n">
        <v>1561</v>
      </c>
      <c r="F211" s="9" t="n">
        <v>0.9955</v>
      </c>
    </row>
    <row r="212" customFormat="false" ht="15" hidden="false" customHeight="false" outlineLevel="0" collapsed="false">
      <c r="A212" s="10" t="s">
        <v>140</v>
      </c>
      <c r="B212" s="10" t="s">
        <v>240</v>
      </c>
      <c r="C212" s="11" t="n">
        <v>1286</v>
      </c>
      <c r="D212" s="11" t="n">
        <v>1496</v>
      </c>
      <c r="E212" s="11" t="n">
        <v>1551</v>
      </c>
      <c r="F212" s="12" t="n">
        <v>0.9957</v>
      </c>
    </row>
    <row r="213" customFormat="false" ht="15" hidden="false" customHeight="false" outlineLevel="0" collapsed="false">
      <c r="A213" s="7" t="s">
        <v>140</v>
      </c>
      <c r="B213" s="7" t="s">
        <v>241</v>
      </c>
      <c r="C213" s="8" t="n">
        <v>661</v>
      </c>
      <c r="D213" s="8" t="n">
        <v>921</v>
      </c>
      <c r="E213" s="8" t="n">
        <v>996</v>
      </c>
      <c r="F213" s="9" t="n">
        <v>0.9606</v>
      </c>
    </row>
    <row r="214" customFormat="false" ht="15" hidden="false" customHeight="false" outlineLevel="0" collapsed="false">
      <c r="A214" s="10" t="s">
        <v>140</v>
      </c>
      <c r="B214" s="10" t="s">
        <v>242</v>
      </c>
      <c r="C214" s="11" t="n">
        <v>346</v>
      </c>
      <c r="D214" s="11" t="n">
        <v>746</v>
      </c>
      <c r="E214" s="11" t="n">
        <v>846</v>
      </c>
      <c r="F214" s="12" t="n">
        <v>0.9488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9" min="8" style="0" width="17"/>
  </cols>
  <sheetData>
    <row r="1" customFormat="false" ht="17.3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5" t="s">
        <v>244</v>
      </c>
    </row>
    <row r="4" customFormat="false" ht="15" hidden="false" customHeight="false" outlineLevel="0" collapsed="false">
      <c r="A4" s="6" t="s">
        <v>245</v>
      </c>
      <c r="B4" s="6" t="s">
        <v>246</v>
      </c>
      <c r="C4" s="6" t="s">
        <v>247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248</v>
      </c>
      <c r="I4" s="6" t="s">
        <v>249</v>
      </c>
    </row>
    <row r="5" customFormat="false" ht="15" hidden="false" customHeight="false" outlineLevel="0" collapsed="false">
      <c r="A5" s="13" t="s">
        <v>250</v>
      </c>
      <c r="B5" s="13" t="s">
        <v>34</v>
      </c>
      <c r="C5" s="13" t="s">
        <v>251</v>
      </c>
      <c r="D5" s="14" t="n">
        <f aca="false">INDEX('All runs'!$C:$C,MATCH($B5,'All runs'!$B:$B,0))</f>
        <v>1383</v>
      </c>
      <c r="E5" s="14" t="n">
        <f aca="false">INDEX('All runs'!$D:$D,MATCH($B5,'All runs'!$B:$B,0))</f>
        <v>1586</v>
      </c>
      <c r="F5" s="14" t="n">
        <f aca="false">INDEX('All runs'!$E:$E,MATCH($B5,'All runs'!$B:$B,0))</f>
        <v>1842</v>
      </c>
      <c r="G5" s="15" t="n">
        <f aca="false">INDEX('All runs'!$F:$F,MATCH($B5,'All runs'!$B:$B,0))</f>
        <v>0.993952</v>
      </c>
      <c r="H5" s="16" t="n">
        <f aca="false">IF(D5=0,"",$D$15/D5-1)</f>
        <v>0.768618944323934</v>
      </c>
      <c r="I5" s="17" t="n">
        <f aca="false">($G$15-G5)*100</f>
        <v>0.321600000000011</v>
      </c>
    </row>
    <row r="6" customFormat="false" ht="15" hidden="false" customHeight="false" outlineLevel="0" collapsed="false">
      <c r="A6" s="18" t="s">
        <v>252</v>
      </c>
      <c r="B6" s="18" t="s">
        <v>31</v>
      </c>
      <c r="C6" s="18" t="s">
        <v>251</v>
      </c>
      <c r="D6" s="19" t="n">
        <f aca="false">INDEX('All runs'!$C:$C,MATCH($B6,'All runs'!$B:$B,0))</f>
        <v>658</v>
      </c>
      <c r="E6" s="19" t="n">
        <f aca="false">INDEX('All runs'!$D:$D,MATCH($B6,'All runs'!$B:$B,0))</f>
        <v>1197</v>
      </c>
      <c r="F6" s="19" t="n">
        <f aca="false">INDEX('All runs'!$E:$E,MATCH($B6,'All runs'!$B:$B,0))</f>
        <v>1875</v>
      </c>
      <c r="G6" s="20" t="n">
        <f aca="false">INDEX('All runs'!$F:$F,MATCH($B6,'All runs'!$B:$B,0))</f>
        <v>0.996512</v>
      </c>
      <c r="H6" s="21" t="n">
        <f aca="false">IF(D6=0,"",$D$15/D6-1)</f>
        <v>2.71732522796353</v>
      </c>
      <c r="I6" s="22" t="n">
        <f aca="false">($G$15-G6)*100</f>
        <v>0.0656000000000101</v>
      </c>
    </row>
    <row r="7" customFormat="false" ht="15" hidden="false" customHeight="false" outlineLevel="0" collapsed="false">
      <c r="A7" s="13" t="s">
        <v>253</v>
      </c>
      <c r="B7" s="13" t="s">
        <v>32</v>
      </c>
      <c r="C7" s="13" t="s">
        <v>254</v>
      </c>
      <c r="D7" s="14" t="n">
        <f aca="false">INDEX('All runs'!$C:$C,MATCH($B7,'All runs'!$B:$B,0))</f>
        <v>738</v>
      </c>
      <c r="E7" s="14" t="n">
        <f aca="false">INDEX('All runs'!$D:$D,MATCH($B7,'All runs'!$B:$B,0))</f>
        <v>1157</v>
      </c>
      <c r="F7" s="14" t="n">
        <f aca="false">INDEX('All runs'!$E:$E,MATCH($B7,'All runs'!$B:$B,0))</f>
        <v>1969</v>
      </c>
      <c r="G7" s="15" t="n">
        <f aca="false">INDEX('All runs'!$F:$F,MATCH($B7,'All runs'!$B:$B,0))</f>
        <v>0.996732</v>
      </c>
      <c r="H7" s="16" t="n">
        <f aca="false">IF(D7=0,"",$D$15/D7-1)</f>
        <v>2.31436314363144</v>
      </c>
      <c r="I7" s="17" t="n">
        <f aca="false">($G$15-G7)*100</f>
        <v>0.0436000000000103</v>
      </c>
    </row>
    <row r="8" customFormat="false" ht="15" hidden="false" customHeight="false" outlineLevel="0" collapsed="false">
      <c r="A8" s="18" t="s">
        <v>255</v>
      </c>
      <c r="B8" s="18" t="s">
        <v>35</v>
      </c>
      <c r="C8" s="18" t="s">
        <v>251</v>
      </c>
      <c r="D8" s="19" t="n">
        <f aca="false">INDEX('All runs'!$C:$C,MATCH($B8,'All runs'!$B:$B,0))</f>
        <v>1324</v>
      </c>
      <c r="E8" s="19" t="n">
        <f aca="false">INDEX('All runs'!$D:$D,MATCH($B8,'All runs'!$B:$B,0))</f>
        <v>2352</v>
      </c>
      <c r="F8" s="19" t="n">
        <f aca="false">INDEX('All runs'!$E:$E,MATCH($B8,'All runs'!$B:$B,0))</f>
        <v>3504</v>
      </c>
      <c r="G8" s="20" t="n">
        <f aca="false">INDEX('All runs'!$F:$F,MATCH($B8,'All runs'!$B:$B,0))</f>
        <v>0.994186</v>
      </c>
      <c r="H8" s="21" t="n">
        <f aca="false">IF(D8=0,"",$D$15/D8-1)</f>
        <v>0.847432024169184</v>
      </c>
      <c r="I8" s="22" t="n">
        <f aca="false">($G$15-G8)*100</f>
        <v>0.298200000000004</v>
      </c>
    </row>
    <row r="9" customFormat="false" ht="15" hidden="false" customHeight="false" outlineLevel="0" collapsed="false">
      <c r="A9" s="13" t="s">
        <v>256</v>
      </c>
      <c r="B9" s="13" t="s">
        <v>36</v>
      </c>
      <c r="C9" s="13" t="s">
        <v>257</v>
      </c>
      <c r="D9" s="14" t="n">
        <f aca="false">INDEX('All runs'!$C:$C,MATCH($B9,'All runs'!$B:$B,0))</f>
        <v>647</v>
      </c>
      <c r="E9" s="14" t="n">
        <f aca="false">INDEX('All runs'!$D:$D,MATCH($B9,'All runs'!$B:$B,0))</f>
        <v>702</v>
      </c>
      <c r="F9" s="14" t="n">
        <f aca="false">INDEX('All runs'!$E:$E,MATCH($B9,'All runs'!$B:$B,0))</f>
        <v>721</v>
      </c>
      <c r="G9" s="15" t="n">
        <f aca="false">INDEX('All runs'!$F:$F,MATCH($B9,'All runs'!$B:$B,0))</f>
        <v>0.985844</v>
      </c>
      <c r="H9" s="16" t="n">
        <f aca="false">IF(D9=0,"",$D$15/D9-1)</f>
        <v>2.78052550231839</v>
      </c>
      <c r="I9" s="17" t="n">
        <f aca="false">($G$15-G9)*100</f>
        <v>1.1324</v>
      </c>
    </row>
    <row r="10" customFormat="false" ht="15" hidden="false" customHeight="false" outlineLevel="0" collapsed="false">
      <c r="A10" s="18" t="s">
        <v>258</v>
      </c>
      <c r="B10" s="18" t="s">
        <v>40</v>
      </c>
      <c r="C10" s="18" t="s">
        <v>259</v>
      </c>
      <c r="D10" s="19" t="n">
        <f aca="false">INDEX('All runs'!$C:$C,MATCH($B10,'All runs'!$B:$B,0))</f>
        <v>1480</v>
      </c>
      <c r="E10" s="19" t="n">
        <f aca="false">INDEX('All runs'!$D:$D,MATCH($B10,'All runs'!$B:$B,0))</f>
        <v>1542</v>
      </c>
      <c r="F10" s="19" t="n">
        <f aca="false">INDEX('All runs'!$E:$E,MATCH($B10,'All runs'!$B:$B,0))</f>
        <v>1558</v>
      </c>
      <c r="G10" s="20" t="n">
        <f aca="false">INDEX('All runs'!$F:$F,MATCH($B10,'All runs'!$B:$B,0))</f>
        <v>0.992063</v>
      </c>
      <c r="H10" s="21" t="n">
        <f aca="false">IF(D10=0,"",$D$15/D10-1)</f>
        <v>0.652702702702703</v>
      </c>
      <c r="I10" s="22" t="n">
        <f aca="false">($G$15-G10)*100</f>
        <v>0.510500000000003</v>
      </c>
    </row>
    <row r="11" customFormat="false" ht="15" hidden="false" customHeight="false" outlineLevel="0" collapsed="false">
      <c r="A11" s="13" t="s">
        <v>260</v>
      </c>
      <c r="B11" s="13" t="s">
        <v>33</v>
      </c>
      <c r="C11" s="13" t="s">
        <v>257</v>
      </c>
      <c r="D11" s="14" t="n">
        <f aca="false">INDEX('All runs'!$C:$C,MATCH($B11,'All runs'!$B:$B,0))</f>
        <v>1384</v>
      </c>
      <c r="E11" s="14" t="n">
        <f aca="false">INDEX('All runs'!$D:$D,MATCH($B11,'All runs'!$B:$B,0))</f>
        <v>1419</v>
      </c>
      <c r="F11" s="14" t="n">
        <f aca="false">INDEX('All runs'!$E:$E,MATCH($B11,'All runs'!$B:$B,0))</f>
        <v>1434</v>
      </c>
      <c r="G11" s="15" t="n">
        <f aca="false">INDEX('All runs'!$F:$F,MATCH($B11,'All runs'!$B:$B,0))</f>
        <v>0.992968</v>
      </c>
      <c r="H11" s="16" t="n">
        <f aca="false">IF(D11=0,"",$D$15/D11-1)</f>
        <v>0.767341040462428</v>
      </c>
      <c r="I11" s="17" t="n">
        <f aca="false">($G$15-G11)*100</f>
        <v>0.420000000000009</v>
      </c>
    </row>
    <row r="12" customFormat="false" ht="15" hidden="false" customHeight="false" outlineLevel="0" collapsed="false">
      <c r="A12" s="18" t="s">
        <v>261</v>
      </c>
      <c r="B12" s="18" t="s">
        <v>39</v>
      </c>
      <c r="C12" s="18" t="s">
        <v>259</v>
      </c>
      <c r="D12" s="19" t="n">
        <f aca="false">INDEX('All runs'!$C:$C,MATCH($B12,'All runs'!$B:$B,0))</f>
        <v>1473</v>
      </c>
      <c r="E12" s="19" t="n">
        <f aca="false">INDEX('All runs'!$D:$D,MATCH($B12,'All runs'!$B:$B,0))</f>
        <v>1509</v>
      </c>
      <c r="F12" s="19" t="n">
        <f aca="false">INDEX('All runs'!$E:$E,MATCH($B12,'All runs'!$B:$B,0))</f>
        <v>1525</v>
      </c>
      <c r="G12" s="20" t="n">
        <f aca="false">INDEX('All runs'!$F:$F,MATCH($B12,'All runs'!$B:$B,0))</f>
        <v>0.993617</v>
      </c>
      <c r="H12" s="21" t="n">
        <f aca="false">IF(D12=0,"",$D$15/D12-1)</f>
        <v>0.660556687033266</v>
      </c>
      <c r="I12" s="22" t="n">
        <f aca="false">($G$15-G12)*100</f>
        <v>0.355100000000008</v>
      </c>
    </row>
    <row r="13" customFormat="false" ht="15" hidden="false" customHeight="false" outlineLevel="0" collapsed="false">
      <c r="A13" s="13" t="s">
        <v>262</v>
      </c>
      <c r="B13" s="13" t="s">
        <v>30</v>
      </c>
      <c r="C13" s="13" t="s">
        <v>263</v>
      </c>
      <c r="D13" s="14" t="n">
        <f aca="false">INDEX('All runs'!$C:$C,MATCH($B13,'All runs'!$B:$B,0))</f>
        <v>1277</v>
      </c>
      <c r="E13" s="14" t="n">
        <f aca="false">INDEX('All runs'!$D:$D,MATCH($B13,'All runs'!$B:$B,0))</f>
        <v>1384</v>
      </c>
      <c r="F13" s="14" t="n">
        <f aca="false">INDEX('All runs'!$E:$E,MATCH($B13,'All runs'!$B:$B,0))</f>
        <v>1543</v>
      </c>
      <c r="G13" s="15" t="n">
        <f aca="false">INDEX('All runs'!$F:$F,MATCH($B13,'All runs'!$B:$B,0))</f>
        <v>0.994936</v>
      </c>
      <c r="H13" s="16" t="n">
        <f aca="false">IF(D13=0,"",$D$15/D13-1)</f>
        <v>0.915426781519186</v>
      </c>
      <c r="I13" s="17" t="n">
        <f aca="false">($G$15-G13)*100</f>
        <v>0.223200000000001</v>
      </c>
    </row>
    <row r="14" customFormat="false" ht="15" hidden="false" customHeight="false" outlineLevel="0" collapsed="false">
      <c r="A14" s="18" t="s">
        <v>264</v>
      </c>
      <c r="B14" s="18" t="s">
        <v>38</v>
      </c>
      <c r="C14" s="18" t="s">
        <v>265</v>
      </c>
      <c r="D14" s="19" t="n">
        <f aca="false">INDEX('All runs'!$C:$C,MATCH($B14,'All runs'!$B:$B,0))</f>
        <v>1335</v>
      </c>
      <c r="E14" s="19" t="n">
        <f aca="false">INDEX('All runs'!$D:$D,MATCH($B14,'All runs'!$B:$B,0))</f>
        <v>1384</v>
      </c>
      <c r="F14" s="19" t="n">
        <f aca="false">INDEX('All runs'!$E:$E,MATCH($B14,'All runs'!$B:$B,0))</f>
        <v>1766</v>
      </c>
      <c r="G14" s="20" t="n">
        <f aca="false">INDEX('All runs'!$F:$F,MATCH($B14,'All runs'!$B:$B,0))</f>
        <v>0.996207</v>
      </c>
      <c r="H14" s="21" t="n">
        <f aca="false">IF(D14=0,"",$D$15/D14-1)</f>
        <v>0.832209737827715</v>
      </c>
      <c r="I14" s="22" t="n">
        <f aca="false">($G$15-G14)*100</f>
        <v>0.0961000000000101</v>
      </c>
    </row>
    <row r="15" customFormat="false" ht="15" hidden="false" customHeight="false" outlineLevel="0" collapsed="false">
      <c r="A15" s="23" t="s">
        <v>266</v>
      </c>
      <c r="B15" s="23" t="s">
        <v>57</v>
      </c>
      <c r="C15" s="23" t="s">
        <v>267</v>
      </c>
      <c r="D15" s="24" t="n">
        <f aca="false">INDEX('All runs'!$C:$C,MATCH($B15,'All runs'!$B:$B,0))</f>
        <v>2446</v>
      </c>
      <c r="E15" s="24" t="n">
        <f aca="false">INDEX('All runs'!$D:$D,MATCH($B15,'All runs'!$B:$B,0))</f>
        <v>2536</v>
      </c>
      <c r="F15" s="24" t="n">
        <f aca="false">INDEX('All runs'!$E:$E,MATCH($B15,'All runs'!$B:$B,0))</f>
        <v>2566</v>
      </c>
      <c r="G15" s="25" t="n">
        <f aca="false">INDEX('All runs'!$F:$F,MATCH($B15,'All runs'!$B:$B,0))</f>
        <v>0.997168</v>
      </c>
      <c r="H15" s="26" t="n">
        <f aca="false">IF(D15=0,"",$D$15/D15-1)</f>
        <v>0</v>
      </c>
      <c r="I15" s="27" t="n">
        <f aca="false">($G$15-G15)*100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12" min="3" style="0" width="10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5" t="s">
        <v>269</v>
      </c>
    </row>
    <row r="4" customFormat="false" ht="15" hidden="false" customHeight="false" outlineLevel="0" collapsed="false">
      <c r="A4" s="6" t="s">
        <v>245</v>
      </c>
      <c r="B4" s="6" t="s">
        <v>246</v>
      </c>
      <c r="C4" s="6" t="s">
        <v>270</v>
      </c>
      <c r="D4" s="6" t="s">
        <v>271</v>
      </c>
      <c r="E4" s="6" t="s">
        <v>272</v>
      </c>
      <c r="F4" s="6" t="s">
        <v>273</v>
      </c>
      <c r="G4" s="6" t="s">
        <v>274</v>
      </c>
      <c r="H4" s="6" t="s">
        <v>275</v>
      </c>
      <c r="I4" s="6" t="s">
        <v>276</v>
      </c>
      <c r="J4" s="6" t="s">
        <v>277</v>
      </c>
      <c r="K4" s="6" t="s">
        <v>278</v>
      </c>
      <c r="L4" s="6" t="s">
        <v>279</v>
      </c>
      <c r="M4" s="6" t="s">
        <v>280</v>
      </c>
    </row>
    <row r="5" customFormat="false" ht="15" hidden="false" customHeight="false" outlineLevel="0" collapsed="false">
      <c r="A5" s="13" t="s">
        <v>250</v>
      </c>
      <c r="B5" s="13" t="s">
        <v>26</v>
      </c>
      <c r="C5" s="28" t="s">
        <v>281</v>
      </c>
      <c r="D5" s="28" t="s">
        <v>281</v>
      </c>
      <c r="E5" s="28" t="n">
        <v>1312</v>
      </c>
      <c r="F5" s="14" t="n">
        <f aca="false">INDEX('All runs'!$C:$C,MATCH($B5,'All runs'!$B:$B,0))</f>
        <v>1035</v>
      </c>
      <c r="G5" s="14" t="n">
        <f aca="false">INDEX('All runs'!$D:$D,MATCH($B5,'All runs'!$B:$B,0))</f>
        <v>1152</v>
      </c>
      <c r="H5" s="14" t="n">
        <f aca="false">INDEX('All runs'!$E:$E,MATCH($B5,'All runs'!$B:$B,0))</f>
        <v>1327</v>
      </c>
      <c r="I5" s="15" t="n">
        <f aca="false">INDEX('All runs'!$F:$F,MATCH($B5,'All runs'!$B:$B,0))</f>
        <v>0.986211</v>
      </c>
      <c r="J5" s="29" t="str">
        <f aca="false">IF(ISNUMBER(C5),ABS(F5-C5)/C5,"")</f>
        <v/>
      </c>
      <c r="K5" s="29" t="str">
        <f aca="false">IF(ISNUMBER(D5),ABS(G5-D5)/D5,"")</f>
        <v/>
      </c>
      <c r="L5" s="29" t="n">
        <f aca="false">IF(ISNUMBER(E5),ABS(H5-E5)/E5,"")</f>
        <v>0.0114329268292683</v>
      </c>
      <c r="M5" s="30" t="s">
        <v>282</v>
      </c>
    </row>
    <row r="6" customFormat="false" ht="15" hidden="false" customHeight="false" outlineLevel="0" collapsed="false">
      <c r="A6" s="18" t="s">
        <v>252</v>
      </c>
      <c r="B6" s="18" t="s">
        <v>24</v>
      </c>
      <c r="C6" s="31" t="s">
        <v>281</v>
      </c>
      <c r="D6" s="31" t="s">
        <v>281</v>
      </c>
      <c r="E6" s="31" t="s">
        <v>281</v>
      </c>
      <c r="F6" s="19" t="n">
        <f aca="false">INDEX('All runs'!$C:$C,MATCH($B6,'All runs'!$B:$B,0))</f>
        <v>734</v>
      </c>
      <c r="G6" s="19" t="n">
        <f aca="false">INDEX('All runs'!$D:$D,MATCH($B6,'All runs'!$B:$B,0))</f>
        <v>1384</v>
      </c>
      <c r="H6" s="19" t="n">
        <f aca="false">INDEX('All runs'!$E:$E,MATCH($B6,'All runs'!$B:$B,0))</f>
        <v>2259</v>
      </c>
      <c r="I6" s="20" t="n">
        <f aca="false">INDEX('All runs'!$F:$F,MATCH($B6,'All runs'!$B:$B,0))</f>
        <v>0.997956</v>
      </c>
      <c r="J6" s="32" t="str">
        <f aca="false">IF(ISNUMBER(C6),ABS(F6-C6)/C6,"")</f>
        <v/>
      </c>
      <c r="K6" s="32" t="str">
        <f aca="false">IF(ISNUMBER(D6),ABS(G6-D6)/D6,"")</f>
        <v/>
      </c>
      <c r="L6" s="32" t="str">
        <f aca="false">IF(ISNUMBER(E6),ABS(H6-E6)/E6,"")</f>
        <v/>
      </c>
      <c r="M6" s="33" t="s">
        <v>283</v>
      </c>
    </row>
    <row r="7" customFormat="false" ht="15" hidden="false" customHeight="false" outlineLevel="0" collapsed="false">
      <c r="A7" s="13" t="s">
        <v>255</v>
      </c>
      <c r="B7" s="13" t="s">
        <v>27</v>
      </c>
      <c r="C7" s="28" t="n">
        <v>1578</v>
      </c>
      <c r="D7" s="28" t="n">
        <v>2082</v>
      </c>
      <c r="E7" s="28" t="n">
        <v>2192</v>
      </c>
      <c r="F7" s="14" t="n">
        <f aca="false">INDEX('All runs'!$C:$C,MATCH($B7,'All runs'!$B:$B,0))</f>
        <v>1616</v>
      </c>
      <c r="G7" s="14" t="n">
        <f aca="false">INDEX('All runs'!$D:$D,MATCH($B7,'All runs'!$B:$B,0))</f>
        <v>2017</v>
      </c>
      <c r="H7" s="14" t="n">
        <f aca="false">INDEX('All runs'!$E:$E,MATCH($B7,'All runs'!$B:$B,0))</f>
        <v>2186</v>
      </c>
      <c r="I7" s="15" t="n">
        <f aca="false">INDEX('All runs'!$F:$F,MATCH($B7,'All runs'!$B:$B,0))</f>
        <v>0.988595</v>
      </c>
      <c r="J7" s="29" t="n">
        <f aca="false">IF(ISNUMBER(C7),ABS(F7-C7)/C7,"")</f>
        <v>0.0240811153358682</v>
      </c>
      <c r="K7" s="29" t="n">
        <f aca="false">IF(ISNUMBER(D7),ABS(G7-D7)/D7,"")</f>
        <v>0.0312199807877041</v>
      </c>
      <c r="L7" s="29" t="n">
        <f aca="false">IF(ISNUMBER(E7),ABS(H7-E7)/E7,"")</f>
        <v>0.00273722627737226</v>
      </c>
      <c r="M7" s="30" t="s">
        <v>284</v>
      </c>
    </row>
    <row r="8" customFormat="false" ht="15" hidden="false" customHeight="false" outlineLevel="0" collapsed="false">
      <c r="A8" s="18" t="s">
        <v>256</v>
      </c>
      <c r="B8" s="18" t="s">
        <v>28</v>
      </c>
      <c r="C8" s="31" t="s">
        <v>281</v>
      </c>
      <c r="D8" s="31" t="s">
        <v>281</v>
      </c>
      <c r="E8" s="31" t="s">
        <v>281</v>
      </c>
      <c r="F8" s="19" t="n">
        <f aca="false">INDEX('All runs'!$C:$C,MATCH($B8,'All runs'!$B:$B,0))</f>
        <v>484</v>
      </c>
      <c r="G8" s="19" t="n">
        <f aca="false">INDEX('All runs'!$D:$D,MATCH($B8,'All runs'!$B:$B,0))</f>
        <v>583</v>
      </c>
      <c r="H8" s="19" t="n">
        <f aca="false">INDEX('All runs'!$E:$E,MATCH($B8,'All runs'!$B:$B,0))</f>
        <v>689</v>
      </c>
      <c r="I8" s="20" t="n">
        <f aca="false">INDEX('All runs'!$F:$F,MATCH($B8,'All runs'!$B:$B,0))</f>
        <v>0.996585</v>
      </c>
      <c r="J8" s="32" t="str">
        <f aca="false">IF(ISNUMBER(C8),ABS(F8-C8)/C8,"")</f>
        <v/>
      </c>
      <c r="K8" s="32" t="str">
        <f aca="false">IF(ISNUMBER(D8),ABS(G8-D8)/D8,"")</f>
        <v/>
      </c>
      <c r="L8" s="32" t="str">
        <f aca="false">IF(ISNUMBER(E8),ABS(H8-E8)/E8,"")</f>
        <v/>
      </c>
      <c r="M8" s="33" t="s">
        <v>285</v>
      </c>
    </row>
    <row r="9" customFormat="false" ht="15" hidden="false" customHeight="false" outlineLevel="0" collapsed="false">
      <c r="A9" s="13" t="s">
        <v>260</v>
      </c>
      <c r="B9" s="13" t="s">
        <v>25</v>
      </c>
      <c r="C9" s="28" t="s">
        <v>281</v>
      </c>
      <c r="D9" s="28" t="s">
        <v>281</v>
      </c>
      <c r="E9" s="28" t="n">
        <v>4312</v>
      </c>
      <c r="F9" s="14" t="n">
        <f aca="false">INDEX('All runs'!$C:$C,MATCH($B9,'All runs'!$B:$B,0))</f>
        <v>1078</v>
      </c>
      <c r="G9" s="14" t="n">
        <f aca="false">INDEX('All runs'!$D:$D,MATCH($B9,'All runs'!$B:$B,0))</f>
        <v>1157</v>
      </c>
      <c r="H9" s="14" t="n">
        <f aca="false">INDEX('All runs'!$E:$E,MATCH($B9,'All runs'!$B:$B,0))</f>
        <v>1207</v>
      </c>
      <c r="I9" s="15" t="n">
        <f aca="false">INDEX('All runs'!$F:$F,MATCH($B9,'All runs'!$B:$B,0))</f>
        <v>0.950353</v>
      </c>
      <c r="J9" s="29" t="str">
        <f aca="false">IF(ISNUMBER(C9),ABS(F9-C9)/C9,"")</f>
        <v/>
      </c>
      <c r="K9" s="29" t="str">
        <f aca="false">IF(ISNUMBER(D9),ABS(G9-D9)/D9,"")</f>
        <v/>
      </c>
      <c r="L9" s="29" t="n">
        <f aca="false">IF(ISNUMBER(E9),ABS(H9-E9)/E9,"")</f>
        <v>0.720083487940631</v>
      </c>
      <c r="M9" s="30" t="s">
        <v>286</v>
      </c>
    </row>
    <row r="10" customFormat="false" ht="15" hidden="false" customHeight="false" outlineLevel="0" collapsed="false">
      <c r="A10" s="18" t="s">
        <v>262</v>
      </c>
      <c r="B10" s="18" t="s">
        <v>23</v>
      </c>
      <c r="C10" s="31" t="n">
        <v>1250</v>
      </c>
      <c r="D10" s="31" t="n">
        <v>1650</v>
      </c>
      <c r="E10" s="31" t="n">
        <v>2200</v>
      </c>
      <c r="F10" s="19" t="n">
        <f aca="false">INDEX('All runs'!$C:$C,MATCH($B10,'All runs'!$B:$B,0))</f>
        <v>1121</v>
      </c>
      <c r="G10" s="19" t="n">
        <f aca="false">INDEX('All runs'!$D:$D,MATCH($B10,'All runs'!$B:$B,0))</f>
        <v>1954</v>
      </c>
      <c r="H10" s="19" t="n">
        <f aca="false">INDEX('All runs'!$E:$E,MATCH($B10,'All runs'!$B:$B,0))</f>
        <v>3783</v>
      </c>
      <c r="I10" s="20" t="n">
        <f aca="false">INDEX('All runs'!$F:$F,MATCH($B10,'All runs'!$B:$B,0))</f>
        <v>0.997831</v>
      </c>
      <c r="J10" s="32" t="n">
        <f aca="false">IF(ISNUMBER(C10),ABS(F10-C10)/C10,"")</f>
        <v>0.1032</v>
      </c>
      <c r="K10" s="32" t="n">
        <f aca="false">IF(ISNUMBER(D10),ABS(G10-D10)/D10,"")</f>
        <v>0.184242424242424</v>
      </c>
      <c r="L10" s="32" t="n">
        <f aca="false">IF(ISNUMBER(E10),ABS(H10-E10)/E10,"")</f>
        <v>0.719545454545455</v>
      </c>
      <c r="M10" s="33" t="s">
        <v>287</v>
      </c>
    </row>
    <row r="12" customFormat="false" ht="15" hidden="false" customHeight="false" outlineLevel="0" collapsed="false">
      <c r="A12" s="34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5" t="s">
        <v>290</v>
      </c>
    </row>
    <row r="4" customFormat="false" ht="15" hidden="false" customHeight="false" outlineLevel="0" collapsed="false">
      <c r="A4" s="6" t="s">
        <v>245</v>
      </c>
      <c r="B4" s="6" t="s">
        <v>291</v>
      </c>
      <c r="C4" s="6" t="s">
        <v>246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292</v>
      </c>
    </row>
    <row r="5" customFormat="false" ht="15" hidden="false" customHeight="false" outlineLevel="0" collapsed="false">
      <c r="A5" s="13" t="s">
        <v>256</v>
      </c>
      <c r="B5" s="13" t="s">
        <v>293</v>
      </c>
      <c r="C5" s="13" t="s">
        <v>28</v>
      </c>
      <c r="D5" s="14" t="n">
        <f aca="false">INDEX('All runs'!$C:$C,MATCH($C5,'All runs'!$B:$B,0))</f>
        <v>484</v>
      </c>
      <c r="E5" s="14" t="n">
        <f aca="false">INDEX('All runs'!$D:$D,MATCH($C5,'All runs'!$B:$B,0))</f>
        <v>583</v>
      </c>
      <c r="F5" s="14" t="n">
        <f aca="false">INDEX('All runs'!$E:$E,MATCH($C5,'All runs'!$B:$B,0))</f>
        <v>689</v>
      </c>
      <c r="G5" s="15" t="n">
        <f aca="false">INDEX('All runs'!$F:$F,MATCH($C5,'All runs'!$B:$B,0))</f>
        <v>0.996585</v>
      </c>
      <c r="H5" s="13" t="s">
        <v>294</v>
      </c>
    </row>
    <row r="6" customFormat="false" ht="15" hidden="false" customHeight="false" outlineLevel="0" collapsed="false">
      <c r="A6" s="18" t="s">
        <v>256</v>
      </c>
      <c r="B6" s="18" t="s">
        <v>295</v>
      </c>
      <c r="C6" s="18" t="s">
        <v>36</v>
      </c>
      <c r="D6" s="19" t="n">
        <f aca="false">INDEX('All runs'!$C:$C,MATCH($C6,'All runs'!$B:$B,0))</f>
        <v>647</v>
      </c>
      <c r="E6" s="19" t="n">
        <f aca="false">INDEX('All runs'!$D:$D,MATCH($C6,'All runs'!$B:$B,0))</f>
        <v>702</v>
      </c>
      <c r="F6" s="19" t="n">
        <f aca="false">INDEX('All runs'!$E:$E,MATCH($C6,'All runs'!$B:$B,0))</f>
        <v>721</v>
      </c>
      <c r="G6" s="20" t="n">
        <f aca="false">INDEX('All runs'!$F:$F,MATCH($C6,'All runs'!$B:$B,0))</f>
        <v>0.985844</v>
      </c>
      <c r="H6" s="18" t="s">
        <v>296</v>
      </c>
    </row>
    <row r="7" customFormat="false" ht="15" hidden="false" customHeight="false" outlineLevel="0" collapsed="false">
      <c r="A7" s="23" t="s">
        <v>256</v>
      </c>
      <c r="B7" s="23" t="s">
        <v>297</v>
      </c>
      <c r="C7" s="23" t="s">
        <v>40</v>
      </c>
      <c r="D7" s="24" t="n">
        <f aca="false">INDEX('All runs'!$C:$C,MATCH($C7,'All runs'!$B:$B,0))</f>
        <v>1480</v>
      </c>
      <c r="E7" s="24" t="n">
        <f aca="false">INDEX('All runs'!$D:$D,MATCH($C7,'All runs'!$B:$B,0))</f>
        <v>1542</v>
      </c>
      <c r="F7" s="24" t="n">
        <f aca="false">INDEX('All runs'!$E:$E,MATCH($C7,'All runs'!$B:$B,0))</f>
        <v>1558</v>
      </c>
      <c r="G7" s="25" t="n">
        <f aca="false">INDEX('All runs'!$F:$F,MATCH($C7,'All runs'!$B:$B,0))</f>
        <v>0.992063</v>
      </c>
      <c r="H7" s="23" t="s">
        <v>298</v>
      </c>
    </row>
    <row r="8" customFormat="false" ht="15" hidden="false" customHeight="false" outlineLevel="0" collapsed="false">
      <c r="A8" s="18" t="s">
        <v>260</v>
      </c>
      <c r="B8" s="18" t="s">
        <v>293</v>
      </c>
      <c r="C8" s="18" t="s">
        <v>25</v>
      </c>
      <c r="D8" s="19" t="n">
        <f aca="false">INDEX('All runs'!$C:$C,MATCH($C8,'All runs'!$B:$B,0))</f>
        <v>1078</v>
      </c>
      <c r="E8" s="19" t="n">
        <f aca="false">INDEX('All runs'!$D:$D,MATCH($C8,'All runs'!$B:$B,0))</f>
        <v>1157</v>
      </c>
      <c r="F8" s="19" t="n">
        <f aca="false">INDEX('All runs'!$E:$E,MATCH($C8,'All runs'!$B:$B,0))</f>
        <v>1207</v>
      </c>
      <c r="G8" s="20" t="n">
        <f aca="false">INDEX('All runs'!$F:$F,MATCH($C8,'All runs'!$B:$B,0))</f>
        <v>0.950353</v>
      </c>
      <c r="H8" s="18" t="s">
        <v>299</v>
      </c>
    </row>
    <row r="9" customFormat="false" ht="15" hidden="false" customHeight="false" outlineLevel="0" collapsed="false">
      <c r="A9" s="13" t="s">
        <v>260</v>
      </c>
      <c r="B9" s="13" t="s">
        <v>295</v>
      </c>
      <c r="C9" s="13" t="s">
        <v>33</v>
      </c>
      <c r="D9" s="14" t="n">
        <f aca="false">INDEX('All runs'!$C:$C,MATCH($C9,'All runs'!$B:$B,0))</f>
        <v>1384</v>
      </c>
      <c r="E9" s="14" t="n">
        <f aca="false">INDEX('All runs'!$D:$D,MATCH($C9,'All runs'!$B:$B,0))</f>
        <v>1419</v>
      </c>
      <c r="F9" s="14" t="n">
        <f aca="false">INDEX('All runs'!$E:$E,MATCH($C9,'All runs'!$B:$B,0))</f>
        <v>1434</v>
      </c>
      <c r="G9" s="15" t="n">
        <f aca="false">INDEX('All runs'!$F:$F,MATCH($C9,'All runs'!$B:$B,0))</f>
        <v>0.992968</v>
      </c>
      <c r="H9" s="13" t="s">
        <v>296</v>
      </c>
    </row>
    <row r="10" customFormat="false" ht="15" hidden="false" customHeight="false" outlineLevel="0" collapsed="false">
      <c r="A10" s="23" t="s">
        <v>260</v>
      </c>
      <c r="B10" s="23" t="s">
        <v>297</v>
      </c>
      <c r="C10" s="23" t="s">
        <v>39</v>
      </c>
      <c r="D10" s="24" t="n">
        <f aca="false">INDEX('All runs'!$C:$C,MATCH($C10,'All runs'!$B:$B,0))</f>
        <v>1473</v>
      </c>
      <c r="E10" s="24" t="n">
        <f aca="false">INDEX('All runs'!$D:$D,MATCH($C10,'All runs'!$B:$B,0))</f>
        <v>1509</v>
      </c>
      <c r="F10" s="24" t="n">
        <f aca="false">INDEX('All runs'!$E:$E,MATCH($C10,'All runs'!$B:$B,0))</f>
        <v>1525</v>
      </c>
      <c r="G10" s="25" t="n">
        <f aca="false">INDEX('All runs'!$F:$F,MATCH($C10,'All runs'!$B:$B,0))</f>
        <v>0.993617</v>
      </c>
      <c r="H10" s="23" t="s">
        <v>300</v>
      </c>
    </row>
    <row r="11" customFormat="false" ht="15" hidden="false" customHeight="false" outlineLevel="0" collapsed="false">
      <c r="A11" s="13" t="s">
        <v>262</v>
      </c>
      <c r="B11" s="13" t="s">
        <v>293</v>
      </c>
      <c r="C11" s="13" t="s">
        <v>23</v>
      </c>
      <c r="D11" s="14" t="n">
        <f aca="false">INDEX('All runs'!$C:$C,MATCH($C11,'All runs'!$B:$B,0))</f>
        <v>1121</v>
      </c>
      <c r="E11" s="14" t="n">
        <f aca="false">INDEX('All runs'!$D:$D,MATCH($C11,'All runs'!$B:$B,0))</f>
        <v>1954</v>
      </c>
      <c r="F11" s="14" t="n">
        <f aca="false">INDEX('All runs'!$E:$E,MATCH($C11,'All runs'!$B:$B,0))</f>
        <v>3783</v>
      </c>
      <c r="G11" s="15" t="n">
        <f aca="false">INDEX('All runs'!$F:$F,MATCH($C11,'All runs'!$B:$B,0))</f>
        <v>0.997831</v>
      </c>
      <c r="H11" s="13" t="s">
        <v>301</v>
      </c>
    </row>
    <row r="12" customFormat="false" ht="15" hidden="false" customHeight="false" outlineLevel="0" collapsed="false">
      <c r="A12" s="18" t="s">
        <v>262</v>
      </c>
      <c r="B12" s="18" t="s">
        <v>295</v>
      </c>
      <c r="C12" s="18" t="s">
        <v>30</v>
      </c>
      <c r="D12" s="19" t="n">
        <f aca="false">INDEX('All runs'!$C:$C,MATCH($C12,'All runs'!$B:$B,0))</f>
        <v>1277</v>
      </c>
      <c r="E12" s="19" t="n">
        <f aca="false">INDEX('All runs'!$D:$D,MATCH($C12,'All runs'!$B:$B,0))</f>
        <v>1384</v>
      </c>
      <c r="F12" s="19" t="n">
        <f aca="false">INDEX('All runs'!$E:$E,MATCH($C12,'All runs'!$B:$B,0))</f>
        <v>1543</v>
      </c>
      <c r="G12" s="20" t="n">
        <f aca="false">INDEX('All runs'!$F:$F,MATCH($C12,'All runs'!$B:$B,0))</f>
        <v>0.994936</v>
      </c>
      <c r="H12" s="18" t="s">
        <v>302</v>
      </c>
    </row>
    <row r="13" customFormat="false" ht="15" hidden="false" customHeight="false" outlineLevel="0" collapsed="false">
      <c r="A13" s="23" t="s">
        <v>262</v>
      </c>
      <c r="B13" s="23" t="s">
        <v>297</v>
      </c>
      <c r="C13" s="23" t="s">
        <v>38</v>
      </c>
      <c r="D13" s="24" t="n">
        <f aca="false">INDEX('All runs'!$C:$C,MATCH($C13,'All runs'!$B:$B,0))</f>
        <v>1335</v>
      </c>
      <c r="E13" s="24" t="n">
        <f aca="false">INDEX('All runs'!$D:$D,MATCH($C13,'All runs'!$B:$B,0))</f>
        <v>1384</v>
      </c>
      <c r="F13" s="24" t="n">
        <f aca="false">INDEX('All runs'!$E:$E,MATCH($C13,'All runs'!$B:$B,0))</f>
        <v>1766</v>
      </c>
      <c r="G13" s="25" t="n">
        <f aca="false">INDEX('All runs'!$F:$F,MATCH($C13,'All runs'!$B:$B,0))</f>
        <v>0.996207</v>
      </c>
      <c r="H13" s="23" t="s">
        <v>303</v>
      </c>
    </row>
    <row r="15" customFormat="false" ht="15" hidden="false" customHeight="false" outlineLevel="0" collapsed="false">
      <c r="A15" s="6" t="s">
        <v>245</v>
      </c>
      <c r="B15" s="6"/>
      <c r="C15" s="6"/>
      <c r="D15" s="6" t="s">
        <v>304</v>
      </c>
      <c r="E15" s="6" t="s">
        <v>305</v>
      </c>
      <c r="F15" s="6" t="s">
        <v>306</v>
      </c>
      <c r="G15" s="6" t="s">
        <v>307</v>
      </c>
    </row>
    <row r="16" customFormat="false" ht="15" hidden="false" customHeight="false" outlineLevel="0" collapsed="false">
      <c r="A16" s="18" t="s">
        <v>256</v>
      </c>
      <c r="D16" s="21" t="n">
        <f aca="false">D7/D6-1</f>
        <v>1.28748068006182</v>
      </c>
      <c r="E16" s="21" t="n">
        <f aca="false">E7/E6-1</f>
        <v>1.1965811965812</v>
      </c>
      <c r="F16" s="21" t="n">
        <f aca="false">F7/F6-1</f>
        <v>1.16088765603329</v>
      </c>
      <c r="G16" s="35" t="n">
        <f aca="false">(G7-G6)*100</f>
        <v>0.621899999999998</v>
      </c>
    </row>
    <row r="17" customFormat="false" ht="15" hidden="false" customHeight="false" outlineLevel="0" collapsed="false">
      <c r="A17" s="13" t="s">
        <v>260</v>
      </c>
      <c r="D17" s="16" t="n">
        <f aca="false">D10/D9-1</f>
        <v>0.0643063583815029</v>
      </c>
      <c r="E17" s="16" t="n">
        <f aca="false">E10/E9-1</f>
        <v>0.0634249471458774</v>
      </c>
      <c r="F17" s="16" t="n">
        <f aca="false">F10/F9-1</f>
        <v>0.0634588563458856</v>
      </c>
      <c r="G17" s="36" t="n">
        <f aca="false">(G10-G9)*100</f>
        <v>0.0649000000000011</v>
      </c>
    </row>
    <row r="18" customFormat="false" ht="15" hidden="false" customHeight="false" outlineLevel="0" collapsed="false">
      <c r="A18" s="18" t="s">
        <v>262</v>
      </c>
      <c r="D18" s="21" t="n">
        <f aca="false">D13/D12-1</f>
        <v>0.0454189506656226</v>
      </c>
      <c r="E18" s="21" t="n">
        <f aca="false">E13/E12-1</f>
        <v>0</v>
      </c>
      <c r="F18" s="21" t="n">
        <f aca="false">F13/F12-1</f>
        <v>0.14452365521711</v>
      </c>
      <c r="G18" s="35" t="n">
        <f aca="false">(G13-G12)*100</f>
        <v>0.127099999999991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5" t="s">
        <v>309</v>
      </c>
    </row>
    <row r="4" customFormat="false" ht="15" hidden="false" customHeight="false" outlineLevel="0" collapsed="false">
      <c r="A4" s="6" t="s">
        <v>310</v>
      </c>
      <c r="B4" s="6" t="s">
        <v>246</v>
      </c>
      <c r="C4" s="6" t="s">
        <v>311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312</v>
      </c>
    </row>
    <row r="5" customFormat="false" ht="15" hidden="false" customHeight="false" outlineLevel="0" collapsed="false">
      <c r="A5" s="13" t="s">
        <v>313</v>
      </c>
      <c r="B5" s="13" t="s">
        <v>42</v>
      </c>
      <c r="C5" s="13" t="s">
        <v>314</v>
      </c>
      <c r="D5" s="14" t="n">
        <f aca="false">INDEX('All runs'!$C:$C,MATCH($B5,'All runs'!$B:$B,0))</f>
        <v>320</v>
      </c>
      <c r="E5" s="14" t="n">
        <f aca="false">INDEX('All runs'!$D:$D,MATCH($B5,'All runs'!$B:$B,0))</f>
        <v>529</v>
      </c>
      <c r="F5" s="14" t="n">
        <f aca="false">INDEX('All runs'!$E:$E,MATCH($B5,'All runs'!$B:$B,0))</f>
        <v>1218</v>
      </c>
      <c r="G5" s="15" t="n">
        <f aca="false">INDEX('All runs'!$F:$F,MATCH($B5,'All runs'!$B:$B,0))</f>
        <v>0.997623</v>
      </c>
      <c r="H5" s="16" t="n">
        <f aca="false">D5/$D$5-1</f>
        <v>0</v>
      </c>
    </row>
    <row r="6" customFormat="false" ht="15" hidden="false" customHeight="false" outlineLevel="0" collapsed="false">
      <c r="A6" s="18" t="s">
        <v>315</v>
      </c>
      <c r="B6" s="18" t="s">
        <v>43</v>
      </c>
      <c r="C6" s="18" t="s">
        <v>316</v>
      </c>
      <c r="D6" s="19" t="n">
        <f aca="false">INDEX('All runs'!$C:$C,MATCH($B6,'All runs'!$B:$B,0))</f>
        <v>334</v>
      </c>
      <c r="E6" s="19" t="n">
        <f aca="false">INDEX('All runs'!$D:$D,MATCH($B6,'All runs'!$B:$B,0))</f>
        <v>528</v>
      </c>
      <c r="F6" s="19" t="n">
        <f aca="false">INDEX('All runs'!$E:$E,MATCH($B6,'All runs'!$B:$B,0))</f>
        <v>1285</v>
      </c>
      <c r="G6" s="20" t="n">
        <f aca="false">INDEX('All runs'!$F:$F,MATCH($B6,'All runs'!$B:$B,0))</f>
        <v>0.997665</v>
      </c>
      <c r="H6" s="21" t="n">
        <f aca="false">D6/$D$5-1</f>
        <v>0.04375</v>
      </c>
    </row>
    <row r="7" customFormat="false" ht="15" hidden="false" customHeight="false" outlineLevel="0" collapsed="false">
      <c r="A7" s="13" t="s">
        <v>317</v>
      </c>
      <c r="B7" s="13" t="s">
        <v>44</v>
      </c>
      <c r="C7" s="13" t="s">
        <v>318</v>
      </c>
      <c r="D7" s="14" t="n">
        <f aca="false">INDEX('All runs'!$C:$C,MATCH($B7,'All runs'!$B:$B,0))</f>
        <v>1645</v>
      </c>
      <c r="E7" s="14" t="n">
        <f aca="false">INDEX('All runs'!$D:$D,MATCH($B7,'All runs'!$B:$B,0))</f>
        <v>2001</v>
      </c>
      <c r="F7" s="14" t="n">
        <f aca="false">INDEX('All runs'!$E:$E,MATCH($B7,'All runs'!$B:$B,0))</f>
        <v>2203</v>
      </c>
      <c r="G7" s="15" t="n">
        <f aca="false">INDEX('All runs'!$F:$F,MATCH($B7,'All runs'!$B:$B,0))</f>
        <v>0.983494</v>
      </c>
      <c r="H7" s="16" t="n">
        <f aca="false">D7/$D$5-1</f>
        <v>4.140625</v>
      </c>
    </row>
    <row r="8" customFormat="false" ht="15" hidden="false" customHeight="false" outlineLevel="0" collapsed="false">
      <c r="A8" s="18" t="s">
        <v>319</v>
      </c>
      <c r="B8" s="18" t="s">
        <v>45</v>
      </c>
      <c r="C8" s="18" t="s">
        <v>320</v>
      </c>
      <c r="D8" s="19" t="n">
        <f aca="false">INDEX('All runs'!$C:$C,MATCH($B8,'All runs'!$B:$B,0))</f>
        <v>1513</v>
      </c>
      <c r="E8" s="19" t="n">
        <f aca="false">INDEX('All runs'!$D:$D,MATCH($B8,'All runs'!$B:$B,0))</f>
        <v>2158</v>
      </c>
      <c r="F8" s="19" t="n">
        <f aca="false">INDEX('All runs'!$E:$E,MATCH($B8,'All runs'!$B:$B,0))</f>
        <v>2416</v>
      </c>
      <c r="G8" s="20" t="n">
        <f aca="false">INDEX('All runs'!$F:$F,MATCH($B8,'All runs'!$B:$B,0))</f>
        <v>0.970722</v>
      </c>
      <c r="H8" s="21" t="n">
        <f aca="false">D8/$D$5-1</f>
        <v>3.728125</v>
      </c>
    </row>
    <row r="9" customFormat="false" ht="15" hidden="false" customHeight="false" outlineLevel="0" collapsed="false">
      <c r="A9" s="13" t="s">
        <v>321</v>
      </c>
      <c r="B9" s="13" t="s">
        <v>46</v>
      </c>
      <c r="C9" s="13" t="s">
        <v>322</v>
      </c>
      <c r="D9" s="14" t="n">
        <f aca="false">INDEX('All runs'!$C:$C,MATCH($B9,'All runs'!$B:$B,0))</f>
        <v>1513</v>
      </c>
      <c r="E9" s="14" t="n">
        <f aca="false">INDEX('All runs'!$D:$D,MATCH($B9,'All runs'!$B:$B,0))</f>
        <v>2116</v>
      </c>
      <c r="F9" s="14" t="n">
        <f aca="false">INDEX('All runs'!$E:$E,MATCH($B9,'All runs'!$B:$B,0))</f>
        <v>2356</v>
      </c>
      <c r="G9" s="15" t="n">
        <f aca="false">INDEX('All runs'!$F:$F,MATCH($B9,'All runs'!$B:$B,0))</f>
        <v>0.984351</v>
      </c>
      <c r="H9" s="16" t="n">
        <f aca="false">D9/$D$5-1</f>
        <v>3.728125</v>
      </c>
    </row>
    <row r="10" customFormat="false" ht="15" hidden="false" customHeight="false" outlineLevel="0" collapsed="false">
      <c r="A10" s="18" t="s">
        <v>323</v>
      </c>
      <c r="B10" s="18" t="s">
        <v>49</v>
      </c>
      <c r="C10" s="18" t="s">
        <v>324</v>
      </c>
      <c r="D10" s="19" t="n">
        <f aca="false">INDEX('All runs'!$C:$C,MATCH($B10,'All runs'!$B:$B,0))</f>
        <v>1645</v>
      </c>
      <c r="E10" s="19" t="n">
        <f aca="false">INDEX('All runs'!$D:$D,MATCH($B10,'All runs'!$B:$B,0))</f>
        <v>1996</v>
      </c>
      <c r="F10" s="19" t="n">
        <f aca="false">INDEX('All runs'!$E:$E,MATCH($B10,'All runs'!$B:$B,0))</f>
        <v>2081</v>
      </c>
      <c r="G10" s="20" t="n">
        <f aca="false">INDEX('All runs'!$F:$F,MATCH($B10,'All runs'!$B:$B,0))</f>
        <v>0.989505</v>
      </c>
      <c r="H10" s="21" t="n">
        <f aca="false">D10/$D$5-1</f>
        <v>4.140625</v>
      </c>
    </row>
    <row r="11" customFormat="false" ht="15" hidden="false" customHeight="false" outlineLevel="0" collapsed="false">
      <c r="A11" s="13" t="s">
        <v>325</v>
      </c>
      <c r="B11" s="13" t="s">
        <v>48</v>
      </c>
      <c r="C11" s="13" t="s">
        <v>326</v>
      </c>
      <c r="D11" s="14" t="n">
        <f aca="false">INDEX('All runs'!$C:$C,MATCH($B11,'All runs'!$B:$B,0))</f>
        <v>1540</v>
      </c>
      <c r="E11" s="14" t="n">
        <f aca="false">INDEX('All runs'!$D:$D,MATCH($B11,'All runs'!$B:$B,0))</f>
        <v>2090</v>
      </c>
      <c r="F11" s="14" t="n">
        <f aca="false">INDEX('All runs'!$E:$E,MATCH($B11,'All runs'!$B:$B,0))</f>
        <v>2259</v>
      </c>
      <c r="G11" s="15" t="n">
        <f aca="false">INDEX('All runs'!$F:$F,MATCH($B11,'All runs'!$B:$B,0))</f>
        <v>0.987008</v>
      </c>
      <c r="H11" s="16" t="n">
        <f aca="false">D11/$D$5-1</f>
        <v>3.8125</v>
      </c>
    </row>
    <row r="12" customFormat="false" ht="15" hidden="false" customHeight="false" outlineLevel="0" collapsed="false">
      <c r="A12" s="18" t="s">
        <v>327</v>
      </c>
      <c r="B12" s="18" t="s">
        <v>47</v>
      </c>
      <c r="C12" s="18" t="s">
        <v>328</v>
      </c>
      <c r="D12" s="19" t="n">
        <f aca="false">INDEX('All runs'!$C:$C,MATCH($B12,'All runs'!$B:$B,0))</f>
        <v>1645</v>
      </c>
      <c r="E12" s="19" t="n">
        <f aca="false">INDEX('All runs'!$D:$D,MATCH($B12,'All runs'!$B:$B,0))</f>
        <v>1996</v>
      </c>
      <c r="F12" s="19" t="n">
        <f aca="false">INDEX('All runs'!$E:$E,MATCH($B12,'All runs'!$B:$B,0))</f>
        <v>2116</v>
      </c>
      <c r="G12" s="20" t="n">
        <f aca="false">INDEX('All runs'!$F:$F,MATCH($B12,'All runs'!$B:$B,0))</f>
        <v>0.986194</v>
      </c>
      <c r="H12" s="21" t="n">
        <f aca="false">D12/$D$5-1</f>
        <v>4.140625</v>
      </c>
    </row>
    <row r="13" customFormat="false" ht="15" hidden="false" customHeight="false" outlineLevel="0" collapsed="false">
      <c r="A13" s="13" t="s">
        <v>329</v>
      </c>
      <c r="B13" s="13" t="s">
        <v>50</v>
      </c>
      <c r="C13" s="13" t="s">
        <v>330</v>
      </c>
      <c r="D13" s="14" t="n">
        <f aca="false">INDEX('All runs'!$C:$C,MATCH($B13,'All runs'!$B:$B,0))</f>
        <v>1521</v>
      </c>
      <c r="E13" s="14" t="n">
        <f aca="false">INDEX('All runs'!$D:$D,MATCH($B13,'All runs'!$B:$B,0))</f>
        <v>1913</v>
      </c>
      <c r="F13" s="14" t="n">
        <f aca="false">INDEX('All runs'!$E:$E,MATCH($B13,'All runs'!$B:$B,0))</f>
        <v>2025</v>
      </c>
      <c r="G13" s="15" t="n">
        <f aca="false">INDEX('All runs'!$F:$F,MATCH($B13,'All runs'!$B:$B,0))</f>
        <v>0.985123</v>
      </c>
      <c r="H13" s="16" t="n">
        <f aca="false">D13/$D$5-1</f>
        <v>3.753125</v>
      </c>
    </row>
    <row r="14" customFormat="false" ht="15" hidden="false" customHeight="false" outlineLevel="0" collapsed="false">
      <c r="A14" s="18" t="s">
        <v>331</v>
      </c>
      <c r="B14" s="18" t="s">
        <v>51</v>
      </c>
      <c r="C14" s="18" t="s">
        <v>332</v>
      </c>
      <c r="D14" s="19" t="n">
        <f aca="false">INDEX('All runs'!$C:$C,MATCH($B14,'All runs'!$B:$B,0))</f>
        <v>1481</v>
      </c>
      <c r="E14" s="19" t="n">
        <f aca="false">INDEX('All runs'!$D:$D,MATCH($B14,'All runs'!$B:$B,0))</f>
        <v>1816</v>
      </c>
      <c r="F14" s="19" t="n">
        <f aca="false">INDEX('All runs'!$E:$E,MATCH($B14,'All runs'!$B:$B,0))</f>
        <v>1961</v>
      </c>
      <c r="G14" s="20" t="n">
        <f aca="false">INDEX('All runs'!$F:$F,MATCH($B14,'All runs'!$B:$B,0))</f>
        <v>0.979452</v>
      </c>
      <c r="H14" s="21" t="n">
        <f aca="false">D14/$D$5-1</f>
        <v>3.628125</v>
      </c>
    </row>
    <row r="15" customFormat="false" ht="15" hidden="false" customHeight="false" outlineLevel="0" collapsed="false">
      <c r="A15" s="13" t="s">
        <v>333</v>
      </c>
      <c r="B15" s="13" t="s">
        <v>54</v>
      </c>
      <c r="C15" s="13" t="s">
        <v>334</v>
      </c>
      <c r="D15" s="14" t="n">
        <f aca="false">INDEX('All runs'!$C:$C,MATCH($B15,'All runs'!$B:$B,0))</f>
        <v>1521</v>
      </c>
      <c r="E15" s="14" t="n">
        <f aca="false">INDEX('All runs'!$D:$D,MATCH($B15,'All runs'!$B:$B,0))</f>
        <v>1906</v>
      </c>
      <c r="F15" s="14" t="n">
        <f aca="false">INDEX('All runs'!$E:$E,MATCH($B15,'All runs'!$B:$B,0))</f>
        <v>2011</v>
      </c>
      <c r="G15" s="15" t="n">
        <f aca="false">INDEX('All runs'!$F:$F,MATCH($B15,'All runs'!$B:$B,0))</f>
        <v>0.989135</v>
      </c>
      <c r="H15" s="16" t="n">
        <f aca="false">D15/$D$5-1</f>
        <v>3.753125</v>
      </c>
    </row>
    <row r="16" customFormat="false" ht="15" hidden="false" customHeight="false" outlineLevel="0" collapsed="false">
      <c r="A16" s="18" t="s">
        <v>335</v>
      </c>
      <c r="B16" s="18" t="s">
        <v>55</v>
      </c>
      <c r="C16" s="18" t="s">
        <v>336</v>
      </c>
      <c r="D16" s="19" t="n">
        <f aca="false">INDEX('All runs'!$C:$C,MATCH($B16,'All runs'!$B:$B,0))</f>
        <v>1481</v>
      </c>
      <c r="E16" s="19" t="n">
        <f aca="false">INDEX('All runs'!$D:$D,MATCH($B16,'All runs'!$B:$B,0))</f>
        <v>1796</v>
      </c>
      <c r="F16" s="19" t="n">
        <f aca="false">INDEX('All runs'!$E:$E,MATCH($B16,'All runs'!$B:$B,0))</f>
        <v>1911</v>
      </c>
      <c r="G16" s="20" t="n">
        <f aca="false">INDEX('All runs'!$F:$F,MATCH($B16,'All runs'!$B:$B,0))</f>
        <v>0.98804</v>
      </c>
      <c r="H16" s="21" t="n">
        <f aca="false">D16/$D$5-1</f>
        <v>3.628125</v>
      </c>
    </row>
    <row r="17" customFormat="false" ht="15" hidden="false" customHeight="false" outlineLevel="0" collapsed="false">
      <c r="A17" s="13" t="s">
        <v>337</v>
      </c>
      <c r="B17" s="13" t="s">
        <v>52</v>
      </c>
      <c r="C17" s="13" t="s">
        <v>338</v>
      </c>
      <c r="D17" s="14" t="n">
        <f aca="false">INDEX('All runs'!$C:$C,MATCH($B17,'All runs'!$B:$B,0))</f>
        <v>1466</v>
      </c>
      <c r="E17" s="14" t="n">
        <f aca="false">INDEX('All runs'!$D:$D,MATCH($B17,'All runs'!$B:$B,0))</f>
        <v>1896</v>
      </c>
      <c r="F17" s="14" t="n">
        <f aca="false">INDEX('All runs'!$E:$E,MATCH($B17,'All runs'!$B:$B,0))</f>
        <v>2011</v>
      </c>
      <c r="G17" s="15" t="n">
        <f aca="false">INDEX('All runs'!$F:$F,MATCH($B17,'All runs'!$B:$B,0))</f>
        <v>0.990826</v>
      </c>
      <c r="H17" s="16" t="n">
        <f aca="false">D17/$D$5-1</f>
        <v>3.58125</v>
      </c>
    </row>
    <row r="18" customFormat="false" ht="15" hidden="false" customHeight="false" outlineLevel="0" collapsed="false">
      <c r="A18" s="18" t="s">
        <v>339</v>
      </c>
      <c r="B18" s="18" t="s">
        <v>53</v>
      </c>
      <c r="C18" s="18" t="s">
        <v>340</v>
      </c>
      <c r="D18" s="19" t="n">
        <f aca="false">INDEX('All runs'!$C:$C,MATCH($B18,'All runs'!$B:$B,0))</f>
        <v>1431</v>
      </c>
      <c r="E18" s="19" t="n">
        <f aca="false">INDEX('All runs'!$D:$D,MATCH($B18,'All runs'!$B:$B,0))</f>
        <v>1996</v>
      </c>
      <c r="F18" s="19" t="n">
        <f aca="false">INDEX('All runs'!$E:$E,MATCH($B18,'All runs'!$B:$B,0))</f>
        <v>2181</v>
      </c>
      <c r="G18" s="20" t="n">
        <f aca="false">INDEX('All runs'!$F:$F,MATCH($B18,'All runs'!$B:$B,0))</f>
        <v>0.984303</v>
      </c>
      <c r="H18" s="21" t="n">
        <f aca="false">D18/$D$5-1</f>
        <v>3.471875</v>
      </c>
    </row>
    <row r="19" customFormat="false" ht="15" hidden="false" customHeight="false" outlineLevel="0" collapsed="false">
      <c r="A19" s="13" t="s">
        <v>341</v>
      </c>
      <c r="B19" s="13" t="s">
        <v>56</v>
      </c>
      <c r="C19" s="13" t="s">
        <v>342</v>
      </c>
      <c r="D19" s="14" t="n">
        <f aca="false">INDEX('All runs'!$C:$C,MATCH($B19,'All runs'!$B:$B,0))</f>
        <v>2446</v>
      </c>
      <c r="E19" s="14" t="n">
        <f aca="false">INDEX('All runs'!$D:$D,MATCH($B19,'All runs'!$B:$B,0))</f>
        <v>2536</v>
      </c>
      <c r="F19" s="14" t="n">
        <f aca="false">INDEX('All runs'!$E:$E,MATCH($B19,'All runs'!$B:$B,0))</f>
        <v>2566</v>
      </c>
      <c r="G19" s="15" t="n">
        <f aca="false">INDEX('All runs'!$F:$F,MATCH($B19,'All runs'!$B:$B,0))</f>
        <v>0.997208</v>
      </c>
      <c r="H19" s="16" t="n">
        <f aca="false">D19/$D$5-1</f>
        <v>6.64375</v>
      </c>
    </row>
    <row r="20" customFormat="false" ht="15" hidden="false" customHeight="false" outlineLevel="0" collapsed="false">
      <c r="A20" s="18" t="s">
        <v>343</v>
      </c>
      <c r="B20" s="18" t="s">
        <v>59</v>
      </c>
      <c r="C20" s="18" t="s">
        <v>336</v>
      </c>
      <c r="D20" s="19" t="n">
        <f aca="false">INDEX('All runs'!$C:$C,MATCH($B20,'All runs'!$B:$B,0))</f>
        <v>1406</v>
      </c>
      <c r="E20" s="19" t="n">
        <f aca="false">INDEX('All runs'!$D:$D,MATCH($B20,'All runs'!$B:$B,0))</f>
        <v>1551</v>
      </c>
      <c r="F20" s="19" t="n">
        <f aca="false">INDEX('All runs'!$E:$E,MATCH($B20,'All runs'!$B:$B,0))</f>
        <v>1606</v>
      </c>
      <c r="G20" s="20" t="n">
        <f aca="false">INDEX('All runs'!$F:$F,MATCH($B20,'All runs'!$B:$B,0))</f>
        <v>0.993787</v>
      </c>
      <c r="H20" s="21" t="n">
        <f aca="false">D20/$D$5-1</f>
        <v>3.39375</v>
      </c>
    </row>
    <row r="21" customFormat="false" ht="15" hidden="false" customHeight="false" outlineLevel="0" collapsed="false">
      <c r="A21" s="23" t="s">
        <v>344</v>
      </c>
      <c r="B21" s="23" t="s">
        <v>57</v>
      </c>
      <c r="C21" s="23" t="s">
        <v>345</v>
      </c>
      <c r="D21" s="24" t="n">
        <f aca="false">INDEX('All runs'!$C:$C,MATCH($B21,'All runs'!$B:$B,0))</f>
        <v>2446</v>
      </c>
      <c r="E21" s="24" t="n">
        <f aca="false">INDEX('All runs'!$D:$D,MATCH($B21,'All runs'!$B:$B,0))</f>
        <v>2536</v>
      </c>
      <c r="F21" s="24" t="n">
        <f aca="false">INDEX('All runs'!$E:$E,MATCH($B21,'All runs'!$B:$B,0))</f>
        <v>2566</v>
      </c>
      <c r="G21" s="25" t="n">
        <f aca="false">INDEX('All runs'!$F:$F,MATCH($B21,'All runs'!$B:$B,0))</f>
        <v>0.997168</v>
      </c>
      <c r="H21" s="26" t="n">
        <f aca="false">D21/$D$5-1</f>
        <v>6.64375</v>
      </c>
    </row>
    <row r="22" customFormat="false" ht="15" hidden="false" customHeight="false" outlineLevel="0" collapsed="false">
      <c r="A22" s="18" t="s">
        <v>346</v>
      </c>
      <c r="B22" s="18" t="s">
        <v>58</v>
      </c>
      <c r="C22" s="18" t="s">
        <v>336</v>
      </c>
      <c r="D22" s="19" t="n">
        <f aca="false">INDEX('All runs'!$C:$C,MATCH($B22,'All runs'!$B:$B,0))</f>
        <v>1626</v>
      </c>
      <c r="E22" s="19" t="n">
        <f aca="false">INDEX('All runs'!$D:$D,MATCH($B22,'All runs'!$B:$B,0))</f>
        <v>1821</v>
      </c>
      <c r="F22" s="19" t="n">
        <f aca="false">INDEX('All runs'!$E:$E,MATCH($B22,'All runs'!$B:$B,0))</f>
        <v>1881</v>
      </c>
      <c r="G22" s="20" t="n">
        <f aca="false">INDEX('All runs'!$F:$F,MATCH($B22,'All runs'!$B:$B,0))</f>
        <v>0.995637</v>
      </c>
      <c r="H22" s="21" t="n">
        <f aca="false">D22/$D$5-1</f>
        <v>4.08125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5" t="s">
        <v>348</v>
      </c>
    </row>
    <row r="4" customFormat="false" ht="15" hidden="false" customHeight="false" outlineLevel="0" collapsed="false">
      <c r="A4" s="6" t="s">
        <v>246</v>
      </c>
      <c r="B4" s="6" t="s">
        <v>349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350</v>
      </c>
    </row>
    <row r="5" customFormat="false" ht="15" hidden="false" customHeight="false" outlineLevel="0" collapsed="false">
      <c r="A5" s="23" t="s">
        <v>56</v>
      </c>
      <c r="B5" s="23" t="s">
        <v>351</v>
      </c>
      <c r="C5" s="24" t="n">
        <f aca="false">INDEX('All runs'!$C:$C,MATCH($A5,'All runs'!$B:$B,0))</f>
        <v>2446</v>
      </c>
      <c r="D5" s="24" t="n">
        <f aca="false">INDEX('All runs'!$D:$D,MATCH($A5,'All runs'!$B:$B,0))</f>
        <v>2536</v>
      </c>
      <c r="E5" s="24" t="n">
        <f aca="false">INDEX('All runs'!$E:$E,MATCH($A5,'All runs'!$B:$B,0))</f>
        <v>2566</v>
      </c>
      <c r="F5" s="25" t="n">
        <f aca="false">INDEX('All runs'!$F:$F,MATCH($A5,'All runs'!$B:$B,0))</f>
        <v>0.997208</v>
      </c>
      <c r="G5" s="26" t="n">
        <f aca="false">C5/$C$5-1</f>
        <v>0</v>
      </c>
    </row>
    <row r="6" customFormat="false" ht="15" hidden="false" customHeight="false" outlineLevel="0" collapsed="false">
      <c r="A6" s="18" t="s">
        <v>63</v>
      </c>
      <c r="B6" s="18" t="s">
        <v>352</v>
      </c>
      <c r="C6" s="19" t="n">
        <f aca="false">INDEX('All runs'!$C:$C,MATCH($A6,'All runs'!$B:$B,0))</f>
        <v>2451</v>
      </c>
      <c r="D6" s="19" t="n">
        <f aca="false">INDEX('All runs'!$D:$D,MATCH($A6,'All runs'!$B:$B,0))</f>
        <v>2541</v>
      </c>
      <c r="E6" s="19" t="n">
        <f aca="false">INDEX('All runs'!$E:$E,MATCH($A6,'All runs'!$B:$B,0))</f>
        <v>2581</v>
      </c>
      <c r="F6" s="20" t="n">
        <f aca="false">INDEX('All runs'!$F:$F,MATCH($A6,'All runs'!$B:$B,0))</f>
        <v>0.997409</v>
      </c>
      <c r="G6" s="21" t="n">
        <f aca="false">C6/$C$5-1</f>
        <v>0.00204415372035971</v>
      </c>
    </row>
    <row r="7" customFormat="false" ht="15" hidden="false" customHeight="false" outlineLevel="0" collapsed="false">
      <c r="A7" s="13" t="s">
        <v>64</v>
      </c>
      <c r="B7" s="13" t="s">
        <v>353</v>
      </c>
      <c r="C7" s="14" t="n">
        <f aca="false">INDEX('All runs'!$C:$C,MATCH($A7,'All runs'!$B:$B,0))</f>
        <v>2430</v>
      </c>
      <c r="D7" s="14" t="n">
        <f aca="false">INDEX('All runs'!$D:$D,MATCH($A7,'All runs'!$B:$B,0))</f>
        <v>2535</v>
      </c>
      <c r="E7" s="14" t="n">
        <f aca="false">INDEX('All runs'!$E:$E,MATCH($A7,'All runs'!$B:$B,0))</f>
        <v>2581</v>
      </c>
      <c r="F7" s="15" t="n">
        <f aca="false">INDEX('All runs'!$F:$F,MATCH($A7,'All runs'!$B:$B,0))</f>
        <v>0.996309</v>
      </c>
      <c r="G7" s="16" t="n">
        <f aca="false">C7/$C$5-1</f>
        <v>-0.00654129190515129</v>
      </c>
    </row>
    <row r="8" customFormat="false" ht="15" hidden="false" customHeight="false" outlineLevel="0" collapsed="false">
      <c r="A8" s="18" t="s">
        <v>65</v>
      </c>
      <c r="B8" s="18" t="s">
        <v>354</v>
      </c>
      <c r="C8" s="19" t="n">
        <f aca="false">INDEX('All runs'!$C:$C,MATCH($A8,'All runs'!$B:$B,0))</f>
        <v>2446</v>
      </c>
      <c r="D8" s="19" t="n">
        <f aca="false">INDEX('All runs'!$D:$D,MATCH($A8,'All runs'!$B:$B,0))</f>
        <v>2536</v>
      </c>
      <c r="E8" s="19" t="n">
        <f aca="false">INDEX('All runs'!$E:$E,MATCH($A8,'All runs'!$B:$B,0))</f>
        <v>2566</v>
      </c>
      <c r="F8" s="20" t="n">
        <f aca="false">INDEX('All runs'!$F:$F,MATCH($A8,'All runs'!$B:$B,0))</f>
        <v>0.997105</v>
      </c>
      <c r="G8" s="21" t="n">
        <f aca="false">C8/$C$5-1</f>
        <v>0</v>
      </c>
    </row>
    <row r="9" customFormat="false" ht="15" hidden="false" customHeight="false" outlineLevel="0" collapsed="false">
      <c r="A9" s="13" t="s">
        <v>66</v>
      </c>
      <c r="B9" s="13" t="s">
        <v>355</v>
      </c>
      <c r="C9" s="14" t="n">
        <f aca="false">INDEX('All runs'!$C:$C,MATCH($A9,'All runs'!$B:$B,0))</f>
        <v>1766</v>
      </c>
      <c r="D9" s="14" t="n">
        <f aca="false">INDEX('All runs'!$D:$D,MATCH($A9,'All runs'!$B:$B,0))</f>
        <v>1916</v>
      </c>
      <c r="E9" s="14" t="n">
        <f aca="false">INDEX('All runs'!$E:$E,MATCH($A9,'All runs'!$B:$B,0))</f>
        <v>1981</v>
      </c>
      <c r="F9" s="15" t="n">
        <f aca="false">INDEX('All runs'!$F:$F,MATCH($A9,'All runs'!$B:$B,0))</f>
        <v>0.995359</v>
      </c>
      <c r="G9" s="16" t="n">
        <f aca="false">C9/$C$5-1</f>
        <v>-0.278004905968929</v>
      </c>
    </row>
    <row r="10" customFormat="false" ht="15" hidden="false" customHeight="false" outlineLevel="0" collapsed="false">
      <c r="A10" s="18" t="s">
        <v>67</v>
      </c>
      <c r="B10" s="18" t="s">
        <v>356</v>
      </c>
      <c r="C10" s="19" t="n">
        <f aca="false">INDEX('All runs'!$C:$C,MATCH($A10,'All runs'!$B:$B,0))</f>
        <v>2171</v>
      </c>
      <c r="D10" s="19" t="n">
        <f aca="false">INDEX('All runs'!$D:$D,MATCH($A10,'All runs'!$B:$B,0))</f>
        <v>2481</v>
      </c>
      <c r="E10" s="19" t="n">
        <f aca="false">INDEX('All runs'!$E:$E,MATCH($A10,'All runs'!$B:$B,0))</f>
        <v>2551</v>
      </c>
      <c r="F10" s="20" t="n">
        <f aca="false">INDEX('All runs'!$F:$F,MATCH($A10,'All runs'!$B:$B,0))</f>
        <v>0.997721</v>
      </c>
      <c r="G10" s="21" t="n">
        <f aca="false">C10/$C$5-1</f>
        <v>-0.112428454619787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357</v>
      </c>
    </row>
    <row r="2" customFormat="false" ht="15" hidden="false" customHeight="false" outlineLevel="0" collapsed="false">
      <c r="A2" s="5" t="s">
        <v>358</v>
      </c>
    </row>
    <row r="4" customFormat="false" ht="15" hidden="false" customHeight="false" outlineLevel="0" collapsed="false">
      <c r="A4" s="6" t="s">
        <v>246</v>
      </c>
      <c r="B4" s="6" t="s">
        <v>359</v>
      </c>
      <c r="C4" s="6" t="s">
        <v>360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361</v>
      </c>
    </row>
    <row r="5" customFormat="false" ht="15" hidden="false" customHeight="false" outlineLevel="0" collapsed="false">
      <c r="A5" s="13" t="s">
        <v>69</v>
      </c>
      <c r="B5" s="13" t="s">
        <v>362</v>
      </c>
      <c r="C5" s="13" t="s">
        <v>363</v>
      </c>
      <c r="D5" s="14" t="n">
        <f aca="false">INDEX('All runs'!$C:$C,MATCH($A5,'All runs'!$B:$B,0))</f>
        <v>2446</v>
      </c>
      <c r="E5" s="14" t="n">
        <f aca="false">INDEX('All runs'!$D:$D,MATCH($A5,'All runs'!$B:$B,0))</f>
        <v>2536</v>
      </c>
      <c r="F5" s="14" t="n">
        <f aca="false">INDEX('All runs'!$E:$E,MATCH($A5,'All runs'!$B:$B,0))</f>
        <v>2566</v>
      </c>
      <c r="G5" s="15" t="n">
        <f aca="false">INDEX('All runs'!$F:$F,MATCH($A5,'All runs'!$B:$B,0))</f>
        <v>0.997208</v>
      </c>
      <c r="H5" s="16" t="n">
        <f aca="false">D5/$D$5-1</f>
        <v>0</v>
      </c>
    </row>
    <row r="6" customFormat="false" ht="15" hidden="false" customHeight="false" outlineLevel="0" collapsed="false">
      <c r="A6" s="18" t="s">
        <v>70</v>
      </c>
      <c r="B6" s="18" t="s">
        <v>362</v>
      </c>
      <c r="C6" s="18" t="s">
        <v>364</v>
      </c>
      <c r="D6" s="19" t="n">
        <f aca="false">INDEX('All runs'!$C:$C,MATCH($A6,'All runs'!$B:$B,0))</f>
        <v>2381</v>
      </c>
      <c r="E6" s="19" t="n">
        <f aca="false">INDEX('All runs'!$D:$D,MATCH($A6,'All runs'!$B:$B,0))</f>
        <v>2486</v>
      </c>
      <c r="F6" s="19" t="n">
        <f aca="false">INDEX('All runs'!$E:$E,MATCH($A6,'All runs'!$B:$B,0))</f>
        <v>2521</v>
      </c>
      <c r="G6" s="20" t="n">
        <f aca="false">INDEX('All runs'!$F:$F,MATCH($A6,'All runs'!$B:$B,0))</f>
        <v>0.996779</v>
      </c>
      <c r="H6" s="21" t="n">
        <f aca="false">D6/$D$5-1</f>
        <v>-0.026573998364677</v>
      </c>
    </row>
    <row r="7" customFormat="false" ht="15" hidden="false" customHeight="false" outlineLevel="0" collapsed="false">
      <c r="A7" s="23" t="s">
        <v>71</v>
      </c>
      <c r="B7" s="23" t="s">
        <v>362</v>
      </c>
      <c r="C7" s="23" t="s">
        <v>365</v>
      </c>
      <c r="D7" s="24" t="n">
        <f aca="false">INDEX('All runs'!$C:$C,MATCH($A7,'All runs'!$B:$B,0))</f>
        <v>2446</v>
      </c>
      <c r="E7" s="24" t="n">
        <f aca="false">INDEX('All runs'!$D:$D,MATCH($A7,'All runs'!$B:$B,0))</f>
        <v>2536</v>
      </c>
      <c r="F7" s="24" t="n">
        <f aca="false">INDEX('All runs'!$E:$E,MATCH($A7,'All runs'!$B:$B,0))</f>
        <v>2566</v>
      </c>
      <c r="G7" s="25" t="n">
        <f aca="false">INDEX('All runs'!$F:$F,MATCH($A7,'All runs'!$B:$B,0))</f>
        <v>0.997168</v>
      </c>
      <c r="H7" s="26" t="n">
        <f aca="false">D7/$D$5-1</f>
        <v>0</v>
      </c>
    </row>
    <row r="8" customFormat="false" ht="15" hidden="false" customHeight="false" outlineLevel="0" collapsed="false">
      <c r="A8" s="18" t="s">
        <v>72</v>
      </c>
      <c r="B8" s="18" t="s">
        <v>366</v>
      </c>
      <c r="C8" s="18" t="s">
        <v>363</v>
      </c>
      <c r="D8" s="19" t="n">
        <f aca="false">INDEX('All runs'!$C:$C,MATCH($A8,'All runs'!$B:$B,0))</f>
        <v>1406</v>
      </c>
      <c r="E8" s="19" t="n">
        <f aca="false">INDEX('All runs'!$D:$D,MATCH($A8,'All runs'!$B:$B,0))</f>
        <v>1551</v>
      </c>
      <c r="F8" s="19" t="n">
        <f aca="false">INDEX('All runs'!$E:$E,MATCH($A8,'All runs'!$B:$B,0))</f>
        <v>1606</v>
      </c>
      <c r="G8" s="20" t="n">
        <f aca="false">INDEX('All runs'!$F:$F,MATCH($A8,'All runs'!$B:$B,0))</f>
        <v>0.993787</v>
      </c>
      <c r="H8" s="21" t="n">
        <f aca="false">D8/$D$8-1</f>
        <v>0</v>
      </c>
    </row>
    <row r="9" customFormat="false" ht="15" hidden="false" customHeight="false" outlineLevel="0" collapsed="false">
      <c r="A9" s="13" t="s">
        <v>73</v>
      </c>
      <c r="B9" s="13" t="s">
        <v>366</v>
      </c>
      <c r="C9" s="13" t="s">
        <v>364</v>
      </c>
      <c r="D9" s="14" t="n">
        <f aca="false">INDEX('All runs'!$C:$C,MATCH($A9,'All runs'!$B:$B,0))</f>
        <v>1586</v>
      </c>
      <c r="E9" s="14" t="n">
        <f aca="false">INDEX('All runs'!$D:$D,MATCH($A9,'All runs'!$B:$B,0))</f>
        <v>1801</v>
      </c>
      <c r="F9" s="14" t="n">
        <f aca="false">INDEX('All runs'!$E:$E,MATCH($A9,'All runs'!$B:$B,0))</f>
        <v>1866</v>
      </c>
      <c r="G9" s="15" t="n">
        <f aca="false">INDEX('All runs'!$F:$F,MATCH($A9,'All runs'!$B:$B,0))</f>
        <v>0.995802</v>
      </c>
      <c r="H9" s="16" t="n">
        <f aca="false">D9/$D$8-1</f>
        <v>0.128022759601707</v>
      </c>
    </row>
    <row r="10" customFormat="false" ht="15" hidden="false" customHeight="false" outlineLevel="0" collapsed="false">
      <c r="A10" s="23" t="s">
        <v>74</v>
      </c>
      <c r="B10" s="23" t="s">
        <v>366</v>
      </c>
      <c r="C10" s="23" t="s">
        <v>365</v>
      </c>
      <c r="D10" s="24" t="n">
        <f aca="false">INDEX('All runs'!$C:$C,MATCH($A10,'All runs'!$B:$B,0))</f>
        <v>1626</v>
      </c>
      <c r="E10" s="24" t="n">
        <f aca="false">INDEX('All runs'!$D:$D,MATCH($A10,'All runs'!$B:$B,0))</f>
        <v>1821</v>
      </c>
      <c r="F10" s="24" t="n">
        <f aca="false">INDEX('All runs'!$E:$E,MATCH($A10,'All runs'!$B:$B,0))</f>
        <v>1881</v>
      </c>
      <c r="G10" s="25" t="n">
        <f aca="false">INDEX('All runs'!$F:$F,MATCH($A10,'All runs'!$B:$B,0))</f>
        <v>0.995637</v>
      </c>
      <c r="H10" s="26" t="n">
        <f aca="false">D10/$D$8-1</f>
        <v>0.15647226173542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6" min="4" style="0" width="9"/>
    <col collapsed="false" customWidth="true" hidden="false" outlineLevel="0" max="9" min="7" style="0" width="10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5" t="s">
        <v>368</v>
      </c>
    </row>
    <row r="4" customFormat="false" ht="15" hidden="false" customHeight="false" outlineLevel="0" collapsed="false">
      <c r="A4" s="6" t="s">
        <v>245</v>
      </c>
      <c r="B4" s="6" t="s">
        <v>369</v>
      </c>
      <c r="C4" s="6" t="s">
        <v>246</v>
      </c>
      <c r="D4" s="6" t="s">
        <v>18</v>
      </c>
      <c r="E4" s="6" t="s">
        <v>19</v>
      </c>
      <c r="F4" s="6" t="s">
        <v>20</v>
      </c>
      <c r="G4" s="6" t="s">
        <v>21</v>
      </c>
    </row>
    <row r="5" customFormat="false" ht="15" hidden="false" customHeight="false" outlineLevel="0" collapsed="false">
      <c r="A5" s="13" t="s">
        <v>370</v>
      </c>
      <c r="B5" s="37" t="s">
        <v>371</v>
      </c>
      <c r="C5" s="13" t="s">
        <v>77</v>
      </c>
      <c r="D5" s="14" t="n">
        <f aca="false">INDEX('All runs'!$C:$C,MATCH($C5,'All runs'!$B:$B,0))</f>
        <v>1645</v>
      </c>
      <c r="E5" s="14" t="n">
        <f aca="false">INDEX('All runs'!$D:$D,MATCH($C5,'All runs'!$B:$B,0))</f>
        <v>1996</v>
      </c>
      <c r="F5" s="14" t="n">
        <f aca="false">INDEX('All runs'!$E:$E,MATCH($C5,'All runs'!$B:$B,0))</f>
        <v>2116</v>
      </c>
      <c r="G5" s="15" t="n">
        <f aca="false">INDEX('All runs'!$F:$F,MATCH($C5,'All runs'!$B:$B,0))</f>
        <v>0.986194</v>
      </c>
    </row>
    <row r="6" customFormat="false" ht="15" hidden="false" customHeight="false" outlineLevel="0" collapsed="false">
      <c r="A6" s="18" t="s">
        <v>370</v>
      </c>
      <c r="B6" s="38" t="s">
        <v>372</v>
      </c>
      <c r="C6" s="18" t="s">
        <v>76</v>
      </c>
      <c r="D6" s="19" t="n">
        <f aca="false">INDEX('All runs'!$C:$C,MATCH($C6,'All runs'!$B:$B,0))</f>
        <v>1743</v>
      </c>
      <c r="E6" s="19" t="n">
        <f aca="false">INDEX('All runs'!$D:$D,MATCH($C6,'All runs'!$B:$B,0))</f>
        <v>2031</v>
      </c>
      <c r="F6" s="19" t="n">
        <f aca="false">INDEX('All runs'!$E:$E,MATCH($C6,'All runs'!$B:$B,0))</f>
        <v>2121</v>
      </c>
      <c r="G6" s="20" t="n">
        <f aca="false">INDEX('All runs'!$F:$F,MATCH($C6,'All runs'!$B:$B,0))</f>
        <v>0.986778</v>
      </c>
    </row>
    <row r="7" customFormat="false" ht="15" hidden="false" customHeight="false" outlineLevel="0" collapsed="false">
      <c r="A7" s="13" t="s">
        <v>370</v>
      </c>
      <c r="B7" s="37" t="s">
        <v>373</v>
      </c>
      <c r="C7" s="13" t="s">
        <v>82</v>
      </c>
      <c r="D7" s="14" t="n">
        <f aca="false">INDEX('All runs'!$C:$C,MATCH($C7,'All runs'!$B:$B,0))</f>
        <v>1725</v>
      </c>
      <c r="E7" s="14" t="n">
        <f aca="false">INDEX('All runs'!$D:$D,MATCH($C7,'All runs'!$B:$B,0))</f>
        <v>2066</v>
      </c>
      <c r="F7" s="14" t="n">
        <f aca="false">INDEX('All runs'!$E:$E,MATCH($C7,'All runs'!$B:$B,0))</f>
        <v>2303</v>
      </c>
      <c r="G7" s="15" t="n">
        <f aca="false">INDEX('All runs'!$F:$F,MATCH($C7,'All runs'!$B:$B,0))</f>
        <v>0.976919</v>
      </c>
    </row>
    <row r="8" customFormat="false" ht="15" hidden="false" customHeight="false" outlineLevel="0" collapsed="false">
      <c r="A8" s="18" t="s">
        <v>370</v>
      </c>
      <c r="B8" s="38" t="s">
        <v>374</v>
      </c>
      <c r="C8" s="18" t="s">
        <v>80</v>
      </c>
      <c r="D8" s="19" t="n">
        <f aca="false">INDEX('All runs'!$C:$C,MATCH($C8,'All runs'!$B:$B,0))</f>
        <v>1551</v>
      </c>
      <c r="E8" s="19" t="n">
        <f aca="false">INDEX('All runs'!$D:$D,MATCH($C8,'All runs'!$B:$B,0))</f>
        <v>2051</v>
      </c>
      <c r="F8" s="19" t="n">
        <f aca="false">INDEX('All runs'!$E:$E,MATCH($C8,'All runs'!$B:$B,0))</f>
        <v>2401</v>
      </c>
      <c r="G8" s="20" t="n">
        <f aca="false">INDEX('All runs'!$F:$F,MATCH($C8,'All runs'!$B:$B,0))</f>
        <v>0.982669</v>
      </c>
    </row>
    <row r="9" customFormat="false" ht="15" hidden="false" customHeight="false" outlineLevel="0" collapsed="false">
      <c r="A9" s="13" t="s">
        <v>370</v>
      </c>
      <c r="B9" s="37" t="s">
        <v>375</v>
      </c>
      <c r="C9" s="13" t="s">
        <v>83</v>
      </c>
      <c r="D9" s="14" t="n">
        <f aca="false">INDEX('All runs'!$C:$C,MATCH($C9,'All runs'!$B:$B,0))</f>
        <v>1681</v>
      </c>
      <c r="E9" s="14" t="n">
        <f aca="false">INDEX('All runs'!$D:$D,MATCH($C9,'All runs'!$B:$B,0))</f>
        <v>2051</v>
      </c>
      <c r="F9" s="14" t="n">
        <f aca="false">INDEX('All runs'!$E:$E,MATCH($C9,'All runs'!$B:$B,0))</f>
        <v>2201</v>
      </c>
      <c r="G9" s="15" t="n">
        <f aca="false">INDEX('All runs'!$F:$F,MATCH($C9,'All runs'!$B:$B,0))</f>
        <v>0.981511</v>
      </c>
    </row>
    <row r="10" customFormat="false" ht="15" hidden="false" customHeight="false" outlineLevel="0" collapsed="false">
      <c r="A10" s="18" t="s">
        <v>370</v>
      </c>
      <c r="B10" s="38" t="s">
        <v>376</v>
      </c>
      <c r="C10" s="18" t="s">
        <v>78</v>
      </c>
      <c r="D10" s="19" t="n">
        <f aca="false">INDEX('All runs'!$C:$C,MATCH($C10,'All runs'!$B:$B,0))</f>
        <v>1606</v>
      </c>
      <c r="E10" s="19" t="n">
        <f aca="false">INDEX('All runs'!$D:$D,MATCH($C10,'All runs'!$B:$B,0))</f>
        <v>2011</v>
      </c>
      <c r="F10" s="19" t="n">
        <f aca="false">INDEX('All runs'!$E:$E,MATCH($C10,'All runs'!$B:$B,0))</f>
        <v>2116</v>
      </c>
      <c r="G10" s="20" t="n">
        <f aca="false">INDEX('All runs'!$F:$F,MATCH($C10,'All runs'!$B:$B,0))</f>
        <v>0.98646</v>
      </c>
    </row>
    <row r="11" customFormat="false" ht="15" hidden="false" customHeight="false" outlineLevel="0" collapsed="false">
      <c r="A11" s="13" t="s">
        <v>370</v>
      </c>
      <c r="B11" s="37" t="s">
        <v>377</v>
      </c>
      <c r="C11" s="13" t="s">
        <v>79</v>
      </c>
      <c r="D11" s="14" t="n">
        <f aca="false">INDEX('All runs'!$C:$C,MATCH($C11,'All runs'!$B:$B,0))</f>
        <v>1410</v>
      </c>
      <c r="E11" s="14" t="n">
        <f aca="false">INDEX('All runs'!$D:$D,MATCH($C11,'All runs'!$B:$B,0))</f>
        <v>2041</v>
      </c>
      <c r="F11" s="14" t="n">
        <f aca="false">INDEX('All runs'!$E:$E,MATCH($C11,'All runs'!$B:$B,0))</f>
        <v>2141</v>
      </c>
      <c r="G11" s="15" t="n">
        <f aca="false">INDEX('All runs'!$F:$F,MATCH($C11,'All runs'!$B:$B,0))</f>
        <v>0.987119</v>
      </c>
    </row>
    <row r="12" customFormat="false" ht="15" hidden="false" customHeight="false" outlineLevel="0" collapsed="false">
      <c r="A12" s="18" t="s">
        <v>370</v>
      </c>
      <c r="B12" s="38" t="s">
        <v>378</v>
      </c>
      <c r="C12" s="18" t="s">
        <v>81</v>
      </c>
      <c r="D12" s="19" t="n">
        <f aca="false">INDEX('All runs'!$C:$C,MATCH($C12,'All runs'!$B:$B,0))</f>
        <v>1486</v>
      </c>
      <c r="E12" s="19" t="n">
        <f aca="false">INDEX('All runs'!$D:$D,MATCH($C12,'All runs'!$B:$B,0))</f>
        <v>2041</v>
      </c>
      <c r="F12" s="19" t="n">
        <f aca="false">INDEX('All runs'!$E:$E,MATCH($C12,'All runs'!$B:$B,0))</f>
        <v>2502</v>
      </c>
      <c r="G12" s="20" t="n">
        <f aca="false">INDEX('All runs'!$F:$F,MATCH($C12,'All runs'!$B:$B,0))</f>
        <v>0.982345</v>
      </c>
    </row>
    <row r="13" customFormat="false" ht="15" hidden="false" customHeight="false" outlineLevel="0" collapsed="false">
      <c r="A13" s="13" t="s">
        <v>341</v>
      </c>
      <c r="B13" s="37" t="s">
        <v>371</v>
      </c>
      <c r="C13" s="13" t="s">
        <v>85</v>
      </c>
      <c r="D13" s="14" t="n">
        <f aca="false">INDEX('All runs'!$C:$C,MATCH($C13,'All runs'!$B:$B,0))</f>
        <v>2446</v>
      </c>
      <c r="E13" s="14" t="n">
        <f aca="false">INDEX('All runs'!$D:$D,MATCH($C13,'All runs'!$B:$B,0))</f>
        <v>2536</v>
      </c>
      <c r="F13" s="14" t="n">
        <f aca="false">INDEX('All runs'!$E:$E,MATCH($C13,'All runs'!$B:$B,0))</f>
        <v>2566</v>
      </c>
      <c r="G13" s="15" t="n">
        <f aca="false">INDEX('All runs'!$F:$F,MATCH($C13,'All runs'!$B:$B,0))</f>
        <v>0.997208</v>
      </c>
    </row>
    <row r="14" customFormat="false" ht="15" hidden="false" customHeight="false" outlineLevel="0" collapsed="false">
      <c r="A14" s="18" t="s">
        <v>341</v>
      </c>
      <c r="B14" s="38" t="s">
        <v>372</v>
      </c>
      <c r="C14" s="18" t="s">
        <v>84</v>
      </c>
      <c r="D14" s="19" t="n">
        <f aca="false">INDEX('All runs'!$C:$C,MATCH($C14,'All runs'!$B:$B,0))</f>
        <v>2481</v>
      </c>
      <c r="E14" s="19" t="n">
        <f aca="false">INDEX('All runs'!$D:$D,MATCH($C14,'All runs'!$B:$B,0))</f>
        <v>2551</v>
      </c>
      <c r="F14" s="19" t="n">
        <f aca="false">INDEX('All runs'!$E:$E,MATCH($C14,'All runs'!$B:$B,0))</f>
        <v>2596</v>
      </c>
      <c r="G14" s="20" t="n">
        <f aca="false">INDEX('All runs'!$F:$F,MATCH($C14,'All runs'!$B:$B,0))</f>
        <v>0.99752</v>
      </c>
    </row>
    <row r="15" customFormat="false" ht="15" hidden="false" customHeight="false" outlineLevel="0" collapsed="false">
      <c r="A15" s="13" t="s">
        <v>341</v>
      </c>
      <c r="B15" s="37" t="s">
        <v>373</v>
      </c>
      <c r="C15" s="13" t="s">
        <v>90</v>
      </c>
      <c r="D15" s="14" t="n">
        <f aca="false">INDEX('All runs'!$C:$C,MATCH($C15,'All runs'!$B:$B,0))</f>
        <v>2476</v>
      </c>
      <c r="E15" s="14" t="n">
        <f aca="false">INDEX('All runs'!$D:$D,MATCH($C15,'All runs'!$B:$B,0))</f>
        <v>2581</v>
      </c>
      <c r="F15" s="14" t="n">
        <f aca="false">INDEX('All runs'!$E:$E,MATCH($C15,'All runs'!$B:$B,0))</f>
        <v>2621</v>
      </c>
      <c r="G15" s="15" t="n">
        <f aca="false">INDEX('All runs'!$F:$F,MATCH($C15,'All runs'!$B:$B,0))</f>
        <v>0.997118</v>
      </c>
    </row>
    <row r="16" customFormat="false" ht="15" hidden="false" customHeight="false" outlineLevel="0" collapsed="false">
      <c r="A16" s="18" t="s">
        <v>341</v>
      </c>
      <c r="B16" s="38" t="s">
        <v>374</v>
      </c>
      <c r="C16" s="18" t="s">
        <v>88</v>
      </c>
      <c r="D16" s="19" t="n">
        <f aca="false">INDEX('All runs'!$C:$C,MATCH($C16,'All runs'!$B:$B,0))</f>
        <v>2416</v>
      </c>
      <c r="E16" s="19" t="n">
        <f aca="false">INDEX('All runs'!$D:$D,MATCH($C16,'All runs'!$B:$B,0))</f>
        <v>2546</v>
      </c>
      <c r="F16" s="19" t="n">
        <f aca="false">INDEX('All runs'!$E:$E,MATCH($C16,'All runs'!$B:$B,0))</f>
        <v>2581</v>
      </c>
      <c r="G16" s="20" t="n">
        <f aca="false">INDEX('All runs'!$F:$F,MATCH($C16,'All runs'!$B:$B,0))</f>
        <v>0.997119</v>
      </c>
    </row>
    <row r="17" customFormat="false" ht="15" hidden="false" customHeight="false" outlineLevel="0" collapsed="false">
      <c r="A17" s="13" t="s">
        <v>341</v>
      </c>
      <c r="B17" s="37" t="s">
        <v>375</v>
      </c>
      <c r="C17" s="13" t="s">
        <v>91</v>
      </c>
      <c r="D17" s="14" t="n">
        <f aca="false">INDEX('All runs'!$C:$C,MATCH($C17,'All runs'!$B:$B,0))</f>
        <v>2446</v>
      </c>
      <c r="E17" s="14" t="n">
        <f aca="false">INDEX('All runs'!$D:$D,MATCH($C17,'All runs'!$B:$B,0))</f>
        <v>2541</v>
      </c>
      <c r="F17" s="14" t="n">
        <f aca="false">INDEX('All runs'!$E:$E,MATCH($C17,'All runs'!$B:$B,0))</f>
        <v>2571</v>
      </c>
      <c r="G17" s="15" t="n">
        <f aca="false">INDEX('All runs'!$F:$F,MATCH($C17,'All runs'!$B:$B,0))</f>
        <v>0.996922</v>
      </c>
    </row>
    <row r="18" customFormat="false" ht="15" hidden="false" customHeight="false" outlineLevel="0" collapsed="false">
      <c r="A18" s="18" t="s">
        <v>341</v>
      </c>
      <c r="B18" s="38" t="s">
        <v>376</v>
      </c>
      <c r="C18" s="18" t="s">
        <v>86</v>
      </c>
      <c r="D18" s="19" t="n">
        <f aca="false">INDEX('All runs'!$C:$C,MATCH($C18,'All runs'!$B:$B,0))</f>
        <v>2401</v>
      </c>
      <c r="E18" s="19" t="n">
        <f aca="false">INDEX('All runs'!$D:$D,MATCH($C18,'All runs'!$B:$B,0))</f>
        <v>2507</v>
      </c>
      <c r="F18" s="19" t="n">
        <f aca="false">INDEX('All runs'!$E:$E,MATCH($C18,'All runs'!$B:$B,0))</f>
        <v>2541</v>
      </c>
      <c r="G18" s="20" t="n">
        <f aca="false">INDEX('All runs'!$F:$F,MATCH($C18,'All runs'!$B:$B,0))</f>
        <v>0.997033</v>
      </c>
    </row>
    <row r="19" customFormat="false" ht="15" hidden="false" customHeight="false" outlineLevel="0" collapsed="false">
      <c r="A19" s="13" t="s">
        <v>341</v>
      </c>
      <c r="B19" s="37" t="s">
        <v>377</v>
      </c>
      <c r="C19" s="13" t="s">
        <v>87</v>
      </c>
      <c r="D19" s="14" t="n">
        <f aca="false">INDEX('All runs'!$C:$C,MATCH($C19,'All runs'!$B:$B,0))</f>
        <v>2466</v>
      </c>
      <c r="E19" s="14" t="n">
        <f aca="false">INDEX('All runs'!$D:$D,MATCH($C19,'All runs'!$B:$B,0))</f>
        <v>2567</v>
      </c>
      <c r="F19" s="14" t="n">
        <f aca="false">INDEX('All runs'!$E:$E,MATCH($C19,'All runs'!$B:$B,0))</f>
        <v>2611</v>
      </c>
      <c r="G19" s="15" t="n">
        <f aca="false">INDEX('All runs'!$F:$F,MATCH($C19,'All runs'!$B:$B,0))</f>
        <v>0.997024</v>
      </c>
    </row>
    <row r="20" customFormat="false" ht="15" hidden="false" customHeight="false" outlineLevel="0" collapsed="false">
      <c r="A20" s="18" t="s">
        <v>341</v>
      </c>
      <c r="B20" s="38" t="s">
        <v>378</v>
      </c>
      <c r="C20" s="18" t="s">
        <v>89</v>
      </c>
      <c r="D20" s="19" t="n">
        <f aca="false">INDEX('All runs'!$C:$C,MATCH($C20,'All runs'!$B:$B,0))</f>
        <v>2451</v>
      </c>
      <c r="E20" s="19" t="n">
        <f aca="false">INDEX('All runs'!$D:$D,MATCH($C20,'All runs'!$B:$B,0))</f>
        <v>2526</v>
      </c>
      <c r="F20" s="19" t="n">
        <f aca="false">INDEX('All runs'!$E:$E,MATCH($C20,'All runs'!$B:$B,0))</f>
        <v>2561</v>
      </c>
      <c r="G20" s="20" t="n">
        <f aca="false">INDEX('All runs'!$F:$F,MATCH($C20,'All runs'!$B:$B,0))</f>
        <v>0.997042</v>
      </c>
    </row>
    <row r="21" customFormat="false" ht="15" hidden="false" customHeight="false" outlineLevel="0" collapsed="false">
      <c r="A21" s="13" t="s">
        <v>344</v>
      </c>
      <c r="B21" s="37" t="s">
        <v>371</v>
      </c>
      <c r="C21" s="13" t="s">
        <v>93</v>
      </c>
      <c r="D21" s="14" t="n">
        <f aca="false">INDEX('All runs'!$C:$C,MATCH($C21,'All runs'!$B:$B,0))</f>
        <v>2446</v>
      </c>
      <c r="E21" s="14" t="n">
        <f aca="false">INDEX('All runs'!$D:$D,MATCH($C21,'All runs'!$B:$B,0))</f>
        <v>2536</v>
      </c>
      <c r="F21" s="14" t="n">
        <f aca="false">INDEX('All runs'!$E:$E,MATCH($C21,'All runs'!$B:$B,0))</f>
        <v>2566</v>
      </c>
      <c r="G21" s="15" t="n">
        <f aca="false">INDEX('All runs'!$F:$F,MATCH($C21,'All runs'!$B:$B,0))</f>
        <v>0.997168</v>
      </c>
    </row>
    <row r="22" customFormat="false" ht="15" hidden="false" customHeight="false" outlineLevel="0" collapsed="false">
      <c r="A22" s="18" t="s">
        <v>344</v>
      </c>
      <c r="B22" s="38" t="s">
        <v>372</v>
      </c>
      <c r="C22" s="18" t="s">
        <v>92</v>
      </c>
      <c r="D22" s="19" t="n">
        <f aca="false">INDEX('All runs'!$C:$C,MATCH($C22,'All runs'!$B:$B,0))</f>
        <v>2481</v>
      </c>
      <c r="E22" s="19" t="n">
        <f aca="false">INDEX('All runs'!$D:$D,MATCH($C22,'All runs'!$B:$B,0))</f>
        <v>2551</v>
      </c>
      <c r="F22" s="19" t="n">
        <f aca="false">INDEX('All runs'!$E:$E,MATCH($C22,'All runs'!$B:$B,0))</f>
        <v>2596</v>
      </c>
      <c r="G22" s="20" t="n">
        <f aca="false">INDEX('All runs'!$F:$F,MATCH($C22,'All runs'!$B:$B,0))</f>
        <v>0.997438</v>
      </c>
    </row>
    <row r="23" customFormat="false" ht="15" hidden="false" customHeight="false" outlineLevel="0" collapsed="false">
      <c r="A23" s="13" t="s">
        <v>344</v>
      </c>
      <c r="B23" s="37" t="s">
        <v>373</v>
      </c>
      <c r="C23" s="13" t="s">
        <v>98</v>
      </c>
      <c r="D23" s="14" t="n">
        <f aca="false">INDEX('All runs'!$C:$C,MATCH($C23,'All runs'!$B:$B,0))</f>
        <v>2476</v>
      </c>
      <c r="E23" s="14" t="n">
        <f aca="false">INDEX('All runs'!$D:$D,MATCH($C23,'All runs'!$B:$B,0))</f>
        <v>2581</v>
      </c>
      <c r="F23" s="14" t="n">
        <f aca="false">INDEX('All runs'!$E:$E,MATCH($C23,'All runs'!$B:$B,0))</f>
        <v>2621</v>
      </c>
      <c r="G23" s="15" t="n">
        <f aca="false">INDEX('All runs'!$F:$F,MATCH($C23,'All runs'!$B:$B,0))</f>
        <v>0.996897</v>
      </c>
    </row>
    <row r="24" customFormat="false" ht="15" hidden="false" customHeight="false" outlineLevel="0" collapsed="false">
      <c r="A24" s="18" t="s">
        <v>344</v>
      </c>
      <c r="B24" s="38" t="s">
        <v>374</v>
      </c>
      <c r="C24" s="18" t="s">
        <v>96</v>
      </c>
      <c r="D24" s="19" t="n">
        <f aca="false">INDEX('All runs'!$C:$C,MATCH($C24,'All runs'!$B:$B,0))</f>
        <v>2416</v>
      </c>
      <c r="E24" s="19" t="n">
        <f aca="false">INDEX('All runs'!$D:$D,MATCH($C24,'All runs'!$B:$B,0))</f>
        <v>2546</v>
      </c>
      <c r="F24" s="19" t="n">
        <f aca="false">INDEX('All runs'!$E:$E,MATCH($C24,'All runs'!$B:$B,0))</f>
        <v>2581</v>
      </c>
      <c r="G24" s="20" t="n">
        <f aca="false">INDEX('All runs'!$F:$F,MATCH($C24,'All runs'!$B:$B,0))</f>
        <v>0.99721</v>
      </c>
    </row>
    <row r="25" customFormat="false" ht="15" hidden="false" customHeight="false" outlineLevel="0" collapsed="false">
      <c r="A25" s="13" t="s">
        <v>344</v>
      </c>
      <c r="B25" s="37" t="s">
        <v>375</v>
      </c>
      <c r="C25" s="13" t="s">
        <v>99</v>
      </c>
      <c r="D25" s="14" t="n">
        <f aca="false">INDEX('All runs'!$C:$C,MATCH($C25,'All runs'!$B:$B,0))</f>
        <v>2446</v>
      </c>
      <c r="E25" s="14" t="n">
        <f aca="false">INDEX('All runs'!$D:$D,MATCH($C25,'All runs'!$B:$B,0))</f>
        <v>2541</v>
      </c>
      <c r="F25" s="14" t="n">
        <f aca="false">INDEX('All runs'!$E:$E,MATCH($C25,'All runs'!$B:$B,0))</f>
        <v>2571</v>
      </c>
      <c r="G25" s="15" t="n">
        <f aca="false">INDEX('All runs'!$F:$F,MATCH($C25,'All runs'!$B:$B,0))</f>
        <v>0.997079</v>
      </c>
    </row>
    <row r="26" customFormat="false" ht="15" hidden="false" customHeight="false" outlineLevel="0" collapsed="false">
      <c r="A26" s="18" t="s">
        <v>344</v>
      </c>
      <c r="B26" s="38" t="s">
        <v>376</v>
      </c>
      <c r="C26" s="18" t="s">
        <v>94</v>
      </c>
      <c r="D26" s="19" t="n">
        <f aca="false">INDEX('All runs'!$C:$C,MATCH($C26,'All runs'!$B:$B,0))</f>
        <v>2401</v>
      </c>
      <c r="E26" s="19" t="n">
        <f aca="false">INDEX('All runs'!$D:$D,MATCH($C26,'All runs'!$B:$B,0))</f>
        <v>2507</v>
      </c>
      <c r="F26" s="19" t="n">
        <f aca="false">INDEX('All runs'!$E:$E,MATCH($C26,'All runs'!$B:$B,0))</f>
        <v>2541</v>
      </c>
      <c r="G26" s="20" t="n">
        <f aca="false">INDEX('All runs'!$F:$F,MATCH($C26,'All runs'!$B:$B,0))</f>
        <v>0.997081</v>
      </c>
    </row>
    <row r="27" customFormat="false" ht="15" hidden="false" customHeight="false" outlineLevel="0" collapsed="false">
      <c r="A27" s="13" t="s">
        <v>344</v>
      </c>
      <c r="B27" s="37" t="s">
        <v>377</v>
      </c>
      <c r="C27" s="13" t="s">
        <v>95</v>
      </c>
      <c r="D27" s="14" t="n">
        <f aca="false">INDEX('All runs'!$C:$C,MATCH($C27,'All runs'!$B:$B,0))</f>
        <v>2466</v>
      </c>
      <c r="E27" s="14" t="n">
        <f aca="false">INDEX('All runs'!$D:$D,MATCH($C27,'All runs'!$B:$B,0))</f>
        <v>2567</v>
      </c>
      <c r="F27" s="14" t="n">
        <f aca="false">INDEX('All runs'!$E:$E,MATCH($C27,'All runs'!$B:$B,0))</f>
        <v>2611</v>
      </c>
      <c r="G27" s="15" t="n">
        <f aca="false">INDEX('All runs'!$F:$F,MATCH($C27,'All runs'!$B:$B,0))</f>
        <v>0.997048</v>
      </c>
    </row>
    <row r="28" customFormat="false" ht="15" hidden="false" customHeight="false" outlineLevel="0" collapsed="false">
      <c r="A28" s="18" t="s">
        <v>344</v>
      </c>
      <c r="B28" s="38" t="s">
        <v>378</v>
      </c>
      <c r="C28" s="18" t="s">
        <v>97</v>
      </c>
      <c r="D28" s="19" t="n">
        <f aca="false">INDEX('All runs'!$C:$C,MATCH($C28,'All runs'!$B:$B,0))</f>
        <v>2451</v>
      </c>
      <c r="E28" s="19" t="n">
        <f aca="false">INDEX('All runs'!$D:$D,MATCH($C28,'All runs'!$B:$B,0))</f>
        <v>2526</v>
      </c>
      <c r="F28" s="19" t="n">
        <f aca="false">INDEX('All runs'!$E:$E,MATCH($C28,'All runs'!$B:$B,0))</f>
        <v>2566</v>
      </c>
      <c r="G28" s="20" t="n">
        <f aca="false">INDEX('All runs'!$F:$F,MATCH($C28,'All runs'!$B:$B,0))</f>
        <v>0.996856</v>
      </c>
    </row>
    <row r="29" customFormat="false" ht="15" hidden="false" customHeight="false" outlineLevel="0" collapsed="false">
      <c r="A29" s="13" t="s">
        <v>343</v>
      </c>
      <c r="B29" s="37" t="s">
        <v>371</v>
      </c>
      <c r="C29" s="13" t="s">
        <v>109</v>
      </c>
      <c r="D29" s="14" t="n">
        <f aca="false">INDEX('All runs'!$C:$C,MATCH($C29,'All runs'!$B:$B,0))</f>
        <v>1406</v>
      </c>
      <c r="E29" s="14" t="n">
        <f aca="false">INDEX('All runs'!$D:$D,MATCH($C29,'All runs'!$B:$B,0))</f>
        <v>1551</v>
      </c>
      <c r="F29" s="14" t="n">
        <f aca="false">INDEX('All runs'!$E:$E,MATCH($C29,'All runs'!$B:$B,0))</f>
        <v>1606</v>
      </c>
      <c r="G29" s="15" t="n">
        <f aca="false">INDEX('All runs'!$F:$F,MATCH($C29,'All runs'!$B:$B,0))</f>
        <v>0.993787</v>
      </c>
    </row>
    <row r="30" customFormat="false" ht="15" hidden="false" customHeight="false" outlineLevel="0" collapsed="false">
      <c r="A30" s="18" t="s">
        <v>343</v>
      </c>
      <c r="B30" s="38" t="s">
        <v>372</v>
      </c>
      <c r="C30" s="18" t="s">
        <v>108</v>
      </c>
      <c r="D30" s="19" t="n">
        <f aca="false">INDEX('All runs'!$C:$C,MATCH($C30,'All runs'!$B:$B,0))</f>
        <v>1386</v>
      </c>
      <c r="E30" s="19" t="n">
        <f aca="false">INDEX('All runs'!$D:$D,MATCH($C30,'All runs'!$B:$B,0))</f>
        <v>1636</v>
      </c>
      <c r="F30" s="19" t="n">
        <f aca="false">INDEX('All runs'!$E:$E,MATCH($C30,'All runs'!$B:$B,0))</f>
        <v>1671</v>
      </c>
      <c r="G30" s="20" t="n">
        <f aca="false">INDEX('All runs'!$F:$F,MATCH($C30,'All runs'!$B:$B,0))</f>
        <v>0.993522</v>
      </c>
    </row>
    <row r="31" customFormat="false" ht="15" hidden="false" customHeight="false" outlineLevel="0" collapsed="false">
      <c r="A31" s="13" t="s">
        <v>343</v>
      </c>
      <c r="B31" s="37" t="s">
        <v>373</v>
      </c>
      <c r="C31" s="13" t="s">
        <v>114</v>
      </c>
      <c r="D31" s="14" t="n">
        <f aca="false">INDEX('All runs'!$C:$C,MATCH($C31,'All runs'!$B:$B,0))</f>
        <v>1476</v>
      </c>
      <c r="E31" s="14" t="n">
        <f aca="false">INDEX('All runs'!$D:$D,MATCH($C31,'All runs'!$B:$B,0))</f>
        <v>1621</v>
      </c>
      <c r="F31" s="14" t="n">
        <f aca="false">INDEX('All runs'!$E:$E,MATCH($C31,'All runs'!$B:$B,0))</f>
        <v>1671</v>
      </c>
      <c r="G31" s="15" t="n">
        <f aca="false">INDEX('All runs'!$F:$F,MATCH($C31,'All runs'!$B:$B,0))</f>
        <v>0.994442</v>
      </c>
    </row>
    <row r="32" customFormat="false" ht="15" hidden="false" customHeight="false" outlineLevel="0" collapsed="false">
      <c r="A32" s="18" t="s">
        <v>343</v>
      </c>
      <c r="B32" s="38" t="s">
        <v>374</v>
      </c>
      <c r="C32" s="18" t="s">
        <v>112</v>
      </c>
      <c r="D32" s="19" t="n">
        <f aca="false">INDEX('All runs'!$C:$C,MATCH($C32,'All runs'!$B:$B,0))</f>
        <v>1436</v>
      </c>
      <c r="E32" s="19" t="n">
        <f aca="false">INDEX('All runs'!$D:$D,MATCH($C32,'All runs'!$B:$B,0))</f>
        <v>1631</v>
      </c>
      <c r="F32" s="19" t="n">
        <f aca="false">INDEX('All runs'!$E:$E,MATCH($C32,'All runs'!$B:$B,0))</f>
        <v>1666</v>
      </c>
      <c r="G32" s="20" t="n">
        <f aca="false">INDEX('All runs'!$F:$F,MATCH($C32,'All runs'!$B:$B,0))</f>
        <v>0.993628</v>
      </c>
    </row>
    <row r="33" customFormat="false" ht="15" hidden="false" customHeight="false" outlineLevel="0" collapsed="false">
      <c r="A33" s="13" t="s">
        <v>343</v>
      </c>
      <c r="B33" s="37" t="s">
        <v>375</v>
      </c>
      <c r="C33" s="13" t="s">
        <v>115</v>
      </c>
      <c r="D33" s="14" t="n">
        <f aca="false">INDEX('All runs'!$C:$C,MATCH($C33,'All runs'!$B:$B,0))</f>
        <v>1416</v>
      </c>
      <c r="E33" s="14" t="n">
        <f aca="false">INDEX('All runs'!$D:$D,MATCH($C33,'All runs'!$B:$B,0))</f>
        <v>1626</v>
      </c>
      <c r="F33" s="14" t="n">
        <f aca="false">INDEX('All runs'!$E:$E,MATCH($C33,'All runs'!$B:$B,0))</f>
        <v>1666</v>
      </c>
      <c r="G33" s="15" t="n">
        <f aca="false">INDEX('All runs'!$F:$F,MATCH($C33,'All runs'!$B:$B,0))</f>
        <v>0.993002</v>
      </c>
    </row>
    <row r="34" customFormat="false" ht="15" hidden="false" customHeight="false" outlineLevel="0" collapsed="false">
      <c r="A34" s="18" t="s">
        <v>343</v>
      </c>
      <c r="B34" s="38" t="s">
        <v>376</v>
      </c>
      <c r="C34" s="18" t="s">
        <v>110</v>
      </c>
      <c r="D34" s="19" t="n">
        <f aca="false">INDEX('All runs'!$C:$C,MATCH($C34,'All runs'!$B:$B,0))</f>
        <v>1346</v>
      </c>
      <c r="E34" s="19" t="n">
        <f aca="false">INDEX('All runs'!$D:$D,MATCH($C34,'All runs'!$B:$B,0))</f>
        <v>1571</v>
      </c>
      <c r="F34" s="19" t="n">
        <f aca="false">INDEX('All runs'!$E:$E,MATCH($C34,'All runs'!$B:$B,0))</f>
        <v>1631</v>
      </c>
      <c r="G34" s="20" t="n">
        <f aca="false">INDEX('All runs'!$F:$F,MATCH($C34,'All runs'!$B:$B,0))</f>
        <v>0.994742</v>
      </c>
    </row>
    <row r="35" customFormat="false" ht="15" hidden="false" customHeight="false" outlineLevel="0" collapsed="false">
      <c r="A35" s="13" t="s">
        <v>343</v>
      </c>
      <c r="B35" s="37" t="s">
        <v>377</v>
      </c>
      <c r="C35" s="13" t="s">
        <v>111</v>
      </c>
      <c r="D35" s="14" t="n">
        <f aca="false">INDEX('All runs'!$C:$C,MATCH($C35,'All runs'!$B:$B,0))</f>
        <v>1436</v>
      </c>
      <c r="E35" s="14" t="n">
        <f aca="false">INDEX('All runs'!$D:$D,MATCH($C35,'All runs'!$B:$B,0))</f>
        <v>1626</v>
      </c>
      <c r="F35" s="14" t="n">
        <f aca="false">INDEX('All runs'!$E:$E,MATCH($C35,'All runs'!$B:$B,0))</f>
        <v>1676</v>
      </c>
      <c r="G35" s="15" t="n">
        <f aca="false">INDEX('All runs'!$F:$F,MATCH($C35,'All runs'!$B:$B,0))</f>
        <v>0.992915</v>
      </c>
    </row>
    <row r="36" customFormat="false" ht="15" hidden="false" customHeight="false" outlineLevel="0" collapsed="false">
      <c r="A36" s="18" t="s">
        <v>343</v>
      </c>
      <c r="B36" s="38" t="s">
        <v>378</v>
      </c>
      <c r="C36" s="18" t="s">
        <v>113</v>
      </c>
      <c r="D36" s="19" t="n">
        <f aca="false">INDEX('All runs'!$C:$C,MATCH($C36,'All runs'!$B:$B,0))</f>
        <v>1396</v>
      </c>
      <c r="E36" s="19" t="n">
        <f aca="false">INDEX('All runs'!$D:$D,MATCH($C36,'All runs'!$B:$B,0))</f>
        <v>1566</v>
      </c>
      <c r="F36" s="19" t="n">
        <f aca="false">INDEX('All runs'!$E:$E,MATCH($C36,'All runs'!$B:$B,0))</f>
        <v>1616</v>
      </c>
      <c r="G36" s="20" t="n">
        <f aca="false">INDEX('All runs'!$F:$F,MATCH($C36,'All runs'!$B:$B,0))</f>
        <v>0.993724</v>
      </c>
    </row>
    <row r="37" customFormat="false" ht="15" hidden="false" customHeight="false" outlineLevel="0" collapsed="false">
      <c r="A37" s="13" t="s">
        <v>346</v>
      </c>
      <c r="B37" s="37" t="s">
        <v>371</v>
      </c>
      <c r="C37" s="13" t="s">
        <v>101</v>
      </c>
      <c r="D37" s="14" t="n">
        <f aca="false">INDEX('All runs'!$C:$C,MATCH($C37,'All runs'!$B:$B,0))</f>
        <v>1626</v>
      </c>
      <c r="E37" s="14" t="n">
        <f aca="false">INDEX('All runs'!$D:$D,MATCH($C37,'All runs'!$B:$B,0))</f>
        <v>1821</v>
      </c>
      <c r="F37" s="14" t="n">
        <f aca="false">INDEX('All runs'!$E:$E,MATCH($C37,'All runs'!$B:$B,0))</f>
        <v>1881</v>
      </c>
      <c r="G37" s="15" t="n">
        <f aca="false">INDEX('All runs'!$F:$F,MATCH($C37,'All runs'!$B:$B,0))</f>
        <v>0.995637</v>
      </c>
    </row>
    <row r="38" customFormat="false" ht="15" hidden="false" customHeight="false" outlineLevel="0" collapsed="false">
      <c r="A38" s="18" t="s">
        <v>346</v>
      </c>
      <c r="B38" s="38" t="s">
        <v>372</v>
      </c>
      <c r="C38" s="18" t="s">
        <v>100</v>
      </c>
      <c r="D38" s="19" t="n">
        <f aca="false">INDEX('All runs'!$C:$C,MATCH($C38,'All runs'!$B:$B,0))</f>
        <v>1636</v>
      </c>
      <c r="E38" s="19" t="n">
        <f aca="false">INDEX('All runs'!$D:$D,MATCH($C38,'All runs'!$B:$B,0))</f>
        <v>1866</v>
      </c>
      <c r="F38" s="19" t="n">
        <f aca="false">INDEX('All runs'!$E:$E,MATCH($C38,'All runs'!$B:$B,0))</f>
        <v>1911</v>
      </c>
      <c r="G38" s="20" t="n">
        <f aca="false">INDEX('All runs'!$F:$F,MATCH($C38,'All runs'!$B:$B,0))</f>
        <v>0.994081</v>
      </c>
    </row>
    <row r="39" customFormat="false" ht="15" hidden="false" customHeight="false" outlineLevel="0" collapsed="false">
      <c r="A39" s="13" t="s">
        <v>346</v>
      </c>
      <c r="B39" s="37" t="s">
        <v>373</v>
      </c>
      <c r="C39" s="13" t="s">
        <v>106</v>
      </c>
      <c r="D39" s="14" t="n">
        <f aca="false">INDEX('All runs'!$C:$C,MATCH($C39,'All runs'!$B:$B,0))</f>
        <v>1646</v>
      </c>
      <c r="E39" s="14" t="n">
        <f aca="false">INDEX('All runs'!$D:$D,MATCH($C39,'All runs'!$B:$B,0))</f>
        <v>1871</v>
      </c>
      <c r="F39" s="14" t="n">
        <f aca="false">INDEX('All runs'!$E:$E,MATCH($C39,'All runs'!$B:$B,0))</f>
        <v>1916</v>
      </c>
      <c r="G39" s="15" t="n">
        <f aca="false">INDEX('All runs'!$F:$F,MATCH($C39,'All runs'!$B:$B,0))</f>
        <v>0.994856</v>
      </c>
    </row>
    <row r="40" customFormat="false" ht="15" hidden="false" customHeight="false" outlineLevel="0" collapsed="false">
      <c r="A40" s="18" t="s">
        <v>346</v>
      </c>
      <c r="B40" s="38" t="s">
        <v>374</v>
      </c>
      <c r="C40" s="18" t="s">
        <v>104</v>
      </c>
      <c r="D40" s="19" t="n">
        <f aca="false">INDEX('All runs'!$C:$C,MATCH($C40,'All runs'!$B:$B,0))</f>
        <v>1681</v>
      </c>
      <c r="E40" s="19" t="n">
        <f aca="false">INDEX('All runs'!$D:$D,MATCH($C40,'All runs'!$B:$B,0))</f>
        <v>1871</v>
      </c>
      <c r="F40" s="19" t="n">
        <f aca="false">INDEX('All runs'!$E:$E,MATCH($C40,'All runs'!$B:$B,0))</f>
        <v>1921</v>
      </c>
      <c r="G40" s="20" t="n">
        <f aca="false">INDEX('All runs'!$F:$F,MATCH($C40,'All runs'!$B:$B,0))</f>
        <v>0.993602</v>
      </c>
    </row>
    <row r="41" customFormat="false" ht="15" hidden="false" customHeight="false" outlineLevel="0" collapsed="false">
      <c r="A41" s="13" t="s">
        <v>346</v>
      </c>
      <c r="B41" s="37" t="s">
        <v>375</v>
      </c>
      <c r="C41" s="13" t="s">
        <v>107</v>
      </c>
      <c r="D41" s="14" t="n">
        <f aca="false">INDEX('All runs'!$C:$C,MATCH($C41,'All runs'!$B:$B,0))</f>
        <v>1676</v>
      </c>
      <c r="E41" s="14" t="n">
        <f aca="false">INDEX('All runs'!$D:$D,MATCH($C41,'All runs'!$B:$B,0))</f>
        <v>1851</v>
      </c>
      <c r="F41" s="14" t="n">
        <f aca="false">INDEX('All runs'!$E:$E,MATCH($C41,'All runs'!$B:$B,0))</f>
        <v>1901</v>
      </c>
      <c r="G41" s="15" t="n">
        <f aca="false">INDEX('All runs'!$F:$F,MATCH($C41,'All runs'!$B:$B,0))</f>
        <v>0.994335</v>
      </c>
    </row>
    <row r="42" customFormat="false" ht="15" hidden="false" customHeight="false" outlineLevel="0" collapsed="false">
      <c r="A42" s="18" t="s">
        <v>346</v>
      </c>
      <c r="B42" s="38" t="s">
        <v>376</v>
      </c>
      <c r="C42" s="18" t="s">
        <v>102</v>
      </c>
      <c r="D42" s="19" t="n">
        <f aca="false">INDEX('All runs'!$C:$C,MATCH($C42,'All runs'!$B:$B,0))</f>
        <v>1596</v>
      </c>
      <c r="E42" s="19" t="n">
        <f aca="false">INDEX('All runs'!$D:$D,MATCH($C42,'All runs'!$B:$B,0))</f>
        <v>1826</v>
      </c>
      <c r="F42" s="19" t="n">
        <f aca="false">INDEX('All runs'!$E:$E,MATCH($C42,'All runs'!$B:$B,0))</f>
        <v>1876</v>
      </c>
      <c r="G42" s="20" t="n">
        <f aca="false">INDEX('All runs'!$F:$F,MATCH($C42,'All runs'!$B:$B,0))</f>
        <v>0.995765</v>
      </c>
    </row>
    <row r="43" customFormat="false" ht="15" hidden="false" customHeight="false" outlineLevel="0" collapsed="false">
      <c r="A43" s="13" t="s">
        <v>346</v>
      </c>
      <c r="B43" s="37" t="s">
        <v>377</v>
      </c>
      <c r="C43" s="13" t="s">
        <v>103</v>
      </c>
      <c r="D43" s="14" t="n">
        <f aca="false">INDEX('All runs'!$C:$C,MATCH($C43,'All runs'!$B:$B,0))</f>
        <v>1681</v>
      </c>
      <c r="E43" s="14" t="n">
        <f aca="false">INDEX('All runs'!$D:$D,MATCH($C43,'All runs'!$B:$B,0))</f>
        <v>1861</v>
      </c>
      <c r="F43" s="14" t="n">
        <f aca="false">INDEX('All runs'!$E:$E,MATCH($C43,'All runs'!$B:$B,0))</f>
        <v>1901</v>
      </c>
      <c r="G43" s="15" t="n">
        <f aca="false">INDEX('All runs'!$F:$F,MATCH($C43,'All runs'!$B:$B,0))</f>
        <v>0.992752</v>
      </c>
    </row>
    <row r="44" customFormat="false" ht="15" hidden="false" customHeight="false" outlineLevel="0" collapsed="false">
      <c r="A44" s="18" t="s">
        <v>346</v>
      </c>
      <c r="B44" s="38" t="s">
        <v>378</v>
      </c>
      <c r="C44" s="18" t="s">
        <v>105</v>
      </c>
      <c r="D44" s="19" t="n">
        <f aca="false">INDEX('All runs'!$C:$C,MATCH($C44,'All runs'!$B:$B,0))</f>
        <v>1671</v>
      </c>
      <c r="E44" s="19" t="n">
        <f aca="false">INDEX('All runs'!$D:$D,MATCH($C44,'All runs'!$B:$B,0))</f>
        <v>1831</v>
      </c>
      <c r="F44" s="19" t="n">
        <f aca="false">INDEX('All runs'!$E:$E,MATCH($C44,'All runs'!$B:$B,0))</f>
        <v>1876</v>
      </c>
      <c r="G44" s="20" t="n">
        <f aca="false">INDEX('All runs'!$F:$F,MATCH($C44,'All runs'!$B:$B,0))</f>
        <v>0.995833</v>
      </c>
    </row>
    <row r="46" customFormat="false" ht="15" hidden="false" customHeight="false" outlineLevel="0" collapsed="false">
      <c r="A46" s="6" t="s">
        <v>245</v>
      </c>
      <c r="B46" s="6"/>
      <c r="C46" s="6"/>
      <c r="D46" s="6" t="s">
        <v>379</v>
      </c>
      <c r="E46" s="6" t="s">
        <v>380</v>
      </c>
      <c r="F46" s="6" t="s">
        <v>381</v>
      </c>
      <c r="G46" s="6" t="s">
        <v>382</v>
      </c>
      <c r="H46" s="6" t="s">
        <v>383</v>
      </c>
      <c r="I46" s="6" t="s">
        <v>384</v>
      </c>
      <c r="J46" s="6" t="s">
        <v>385</v>
      </c>
    </row>
    <row r="47" customFormat="false" ht="15" hidden="false" customHeight="false" outlineLevel="0" collapsed="false">
      <c r="A47" s="13" t="s">
        <v>370</v>
      </c>
      <c r="D47" s="39" t="n">
        <f aca="false">AVERAGE(D5:D12)</f>
        <v>1605.875</v>
      </c>
      <c r="E47" s="39" t="n">
        <f aca="false">AVERAGE(E5:E12)</f>
        <v>2036</v>
      </c>
      <c r="F47" s="39" t="n">
        <f aca="false">AVERAGE(F5:F12)</f>
        <v>2237.625</v>
      </c>
      <c r="G47" s="40" t="n">
        <f aca="false">AVERAGE(G5:G12)</f>
        <v>0.983749375</v>
      </c>
      <c r="H47" s="39" t="n">
        <f aca="false">MIN(D5:D12)</f>
        <v>1410</v>
      </c>
      <c r="I47" s="39" t="n">
        <f aca="false">MAX(D5:D12)</f>
        <v>1743</v>
      </c>
      <c r="J47" s="41" t="n">
        <f aca="false">(I47-H47)/2/D47</f>
        <v>0.103681793414805</v>
      </c>
    </row>
    <row r="48" customFormat="false" ht="15" hidden="false" customHeight="false" outlineLevel="0" collapsed="false">
      <c r="A48" s="18" t="s">
        <v>341</v>
      </c>
      <c r="D48" s="42" t="n">
        <f aca="false">AVERAGE(D13:D20)</f>
        <v>2447.875</v>
      </c>
      <c r="E48" s="42" t="n">
        <f aca="false">AVERAGE(E13:E20)</f>
        <v>2544.375</v>
      </c>
      <c r="F48" s="42" t="n">
        <f aca="false">AVERAGE(F13:F20)</f>
        <v>2581</v>
      </c>
      <c r="G48" s="43" t="n">
        <f aca="false">AVERAGE(G13:G20)</f>
        <v>0.99712325</v>
      </c>
      <c r="H48" s="42" t="n">
        <f aca="false">MIN(D13:D20)</f>
        <v>2401</v>
      </c>
      <c r="I48" s="42" t="n">
        <f aca="false">MAX(D13:D20)</f>
        <v>2481</v>
      </c>
      <c r="J48" s="44" t="n">
        <f aca="false">(I48-H48)/2/D48</f>
        <v>0.0163407036715519</v>
      </c>
    </row>
    <row r="49" customFormat="false" ht="15" hidden="false" customHeight="false" outlineLevel="0" collapsed="false">
      <c r="A49" s="23" t="s">
        <v>344</v>
      </c>
      <c r="D49" s="45" t="n">
        <f aca="false">AVERAGE(D21:D28)</f>
        <v>2447.875</v>
      </c>
      <c r="E49" s="45" t="n">
        <f aca="false">AVERAGE(E21:E28)</f>
        <v>2544.375</v>
      </c>
      <c r="F49" s="45" t="n">
        <f aca="false">AVERAGE(F21:F28)</f>
        <v>2581.625</v>
      </c>
      <c r="G49" s="46" t="n">
        <f aca="false">AVERAGE(G21:G28)</f>
        <v>0.997097125</v>
      </c>
      <c r="H49" s="45" t="n">
        <f aca="false">MIN(D21:D28)</f>
        <v>2401</v>
      </c>
      <c r="I49" s="45" t="n">
        <f aca="false">MAX(D21:D28)</f>
        <v>2481</v>
      </c>
      <c r="J49" s="47" t="n">
        <f aca="false">(I49-H49)/2/D49</f>
        <v>0.0163407036715519</v>
      </c>
    </row>
    <row r="50" customFormat="false" ht="15" hidden="false" customHeight="false" outlineLevel="0" collapsed="false">
      <c r="A50" s="18" t="s">
        <v>343</v>
      </c>
      <c r="D50" s="42" t="n">
        <f aca="false">AVERAGE(D29:D36)</f>
        <v>1412.25</v>
      </c>
      <c r="E50" s="42" t="n">
        <f aca="false">AVERAGE(E29:E36)</f>
        <v>1603.5</v>
      </c>
      <c r="F50" s="42" t="n">
        <f aca="false">AVERAGE(F29:F36)</f>
        <v>1650.375</v>
      </c>
      <c r="G50" s="43" t="n">
        <f aca="false">AVERAGE(G29:G36)</f>
        <v>0.99372025</v>
      </c>
      <c r="H50" s="42" t="n">
        <f aca="false">MIN(D29:D36)</f>
        <v>1346</v>
      </c>
      <c r="I50" s="42" t="n">
        <f aca="false">MAX(D29:D36)</f>
        <v>1476</v>
      </c>
      <c r="J50" s="44" t="n">
        <f aca="false">(I50-H50)/2/D50</f>
        <v>0.0460258452823509</v>
      </c>
    </row>
    <row r="51" customFormat="false" ht="15" hidden="false" customHeight="false" outlineLevel="0" collapsed="false">
      <c r="A51" s="13" t="s">
        <v>346</v>
      </c>
      <c r="D51" s="39" t="n">
        <f aca="false">AVERAGE(D37:D44)</f>
        <v>1651.625</v>
      </c>
      <c r="E51" s="39" t="n">
        <f aca="false">AVERAGE(E37:E44)</f>
        <v>1849.75</v>
      </c>
      <c r="F51" s="39" t="n">
        <f aca="false">AVERAGE(F37:F44)</f>
        <v>1897.875</v>
      </c>
      <c r="G51" s="40" t="n">
        <f aca="false">AVERAGE(G37:G44)</f>
        <v>0.994607625</v>
      </c>
      <c r="H51" s="39" t="n">
        <f aca="false">MIN(D37:D44)</f>
        <v>1596</v>
      </c>
      <c r="I51" s="39" t="n">
        <f aca="false">MAX(D37:D44)</f>
        <v>1681</v>
      </c>
      <c r="J51" s="41" t="n">
        <f aca="false">(I51-H51)/2/D51</f>
        <v>0.0257322334064936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</cols>
  <sheetData>
    <row r="1" customFormat="false" ht="17.35" hidden="false" customHeight="false" outlineLevel="0" collapsed="false">
      <c r="A1" s="1" t="s">
        <v>386</v>
      </c>
    </row>
    <row r="4" customFormat="false" ht="15" hidden="false" customHeight="false" outlineLevel="0" collapsed="false">
      <c r="A4" s="6" t="s">
        <v>387</v>
      </c>
      <c r="B4" s="6" t="s">
        <v>388</v>
      </c>
    </row>
    <row r="5" customFormat="false" ht="15" hidden="false" customHeight="false" outlineLevel="0" collapsed="false">
      <c r="A5" s="13" t="s">
        <v>389</v>
      </c>
      <c r="B5" s="13" t="s">
        <v>390</v>
      </c>
    </row>
    <row r="6" customFormat="false" ht="15" hidden="false" customHeight="false" outlineLevel="0" collapsed="false">
      <c r="A6" s="18" t="s">
        <v>391</v>
      </c>
      <c r="B6" s="18" t="s">
        <v>392</v>
      </c>
    </row>
    <row r="7" customFormat="false" ht="15" hidden="false" customHeight="false" outlineLevel="0" collapsed="false">
      <c r="A7" s="13" t="s">
        <v>393</v>
      </c>
      <c r="B7" s="13" t="s">
        <v>394</v>
      </c>
    </row>
    <row r="8" customFormat="false" ht="15" hidden="false" customHeight="false" outlineLevel="0" collapsed="false">
      <c r="A8" s="18" t="s">
        <v>395</v>
      </c>
      <c r="B8" s="18" t="s">
        <v>396</v>
      </c>
    </row>
    <row r="9" customFormat="false" ht="15" hidden="false" customHeight="false" outlineLevel="0" collapsed="false">
      <c r="A9" s="13" t="s">
        <v>397</v>
      </c>
      <c r="B9" s="13" t="s">
        <v>398</v>
      </c>
    </row>
    <row r="10" customFormat="false" ht="15" hidden="false" customHeight="false" outlineLevel="0" collapsed="false">
      <c r="A10" s="18" t="s">
        <v>399</v>
      </c>
      <c r="B10" s="18" t="s">
        <v>400</v>
      </c>
    </row>
    <row r="11" customFormat="false" ht="15" hidden="false" customHeight="false" outlineLevel="0" collapsed="false">
      <c r="A11" s="13" t="s">
        <v>401</v>
      </c>
      <c r="B11" s="13" t="s">
        <v>402</v>
      </c>
    </row>
    <row r="12" customFormat="false" ht="15" hidden="false" customHeight="false" outlineLevel="0" collapsed="false">
      <c r="A12" s="18" t="s">
        <v>403</v>
      </c>
      <c r="B12" s="18" t="s">
        <v>404</v>
      </c>
    </row>
    <row r="13" customFormat="false" ht="15" hidden="false" customHeight="false" outlineLevel="0" collapsed="false">
      <c r="A13" s="13" t="s">
        <v>405</v>
      </c>
      <c r="B13" s="13" t="s">
        <v>406</v>
      </c>
    </row>
    <row r="14" customFormat="false" ht="15" hidden="false" customHeight="false" outlineLevel="0" collapsed="false">
      <c r="A14" s="18" t="s">
        <v>407</v>
      </c>
      <c r="B14" s="18" t="s">
        <v>408</v>
      </c>
    </row>
    <row r="15" customFormat="false" ht="15" hidden="false" customHeight="false" outlineLevel="0" collapsed="false">
      <c r="A15" s="13" t="s">
        <v>409</v>
      </c>
      <c r="B15" s="13" t="s">
        <v>410</v>
      </c>
    </row>
    <row r="16" customFormat="false" ht="15" hidden="false" customHeight="false" outlineLevel="0" collapsed="false">
      <c r="A16" s="18" t="s">
        <v>411</v>
      </c>
      <c r="B16" s="18" t="s">
        <v>412</v>
      </c>
    </row>
    <row r="17" customFormat="false" ht="15" hidden="false" customHeight="false" outlineLevel="0" collapsed="false">
      <c r="A17" s="13" t="s">
        <v>413</v>
      </c>
      <c r="B17" s="13" t="s">
        <v>414</v>
      </c>
    </row>
    <row r="18" customFormat="false" ht="15" hidden="false" customHeight="false" outlineLevel="0" collapsed="false">
      <c r="A18" s="18" t="s">
        <v>415</v>
      </c>
      <c r="B18" s="18" t="s">
        <v>416</v>
      </c>
    </row>
    <row r="19" customFormat="false" ht="15" hidden="false" customHeight="false" outlineLevel="0" collapsed="false">
      <c r="A19" s="13" t="s">
        <v>417</v>
      </c>
      <c r="B19" s="13" t="s">
        <v>418</v>
      </c>
    </row>
    <row r="20" customFormat="false" ht="15" hidden="false" customHeight="false" outlineLevel="0" collapsed="false">
      <c r="A20" s="18" t="s">
        <v>369</v>
      </c>
      <c r="B20" s="18" t="s">
        <v>419</v>
      </c>
    </row>
    <row r="21" customFormat="false" ht="15" hidden="false" customHeight="false" outlineLevel="0" collapsed="false">
      <c r="A21" s="13" t="s">
        <v>420</v>
      </c>
      <c r="B21" s="13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2026-09-26T03:58:54Z</dcterms:created>
  <dc:creator>openpyxl</dc:creator>
  <dc:description/>
  <dc:language>en-US</dc:language>
  <cp:lastModifiedBy/>
  <dcterms:modified xsi:type="dcterms:W3CDTF">2026-09-26T03:59:06Z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